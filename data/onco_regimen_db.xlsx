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계산기" sheetId="2" state="visible" r:id="rId4"/>
    <sheet name="레지멘DB" sheetId="3" state="visible" r:id="rId5"/>
    <sheet name="암종분류" sheetId="4" state="visible" r:id="rId6"/>
    <sheet name="약제군_2군" sheetId="5" state="visible" r:id="rId7"/>
    <sheet name="키트루다_적응증" sheetId="6" state="visible" r:id="rId8"/>
  </sheets>
  <definedNames>
    <definedName function="false" hidden="true" localSheetId="2" name="_xlnm._FilterDatabase" vbProcedure="false">레지멘DB!$A$1:$U$252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<sst xmlns="http://schemas.openxmlformats.org/spreadsheetml/2006/main" count="3149" uniqueCount="889">
  <si>
    <r>
      <rPr>
        <b val="true"/>
        <sz val="16"/>
        <color rgb="FF1F4E78"/>
        <rFont val="Noto Sans CJK SC"/>
        <family val="2"/>
      </rPr>
      <t xml:space="preserve">항암요법 공고 레지멘 계산 </t>
    </r>
    <r>
      <rPr>
        <b val="true"/>
        <sz val="16"/>
        <color rgb="FF1F4E78"/>
        <rFont val="Arial"/>
        <family val="0"/>
        <charset val="1"/>
      </rPr>
      <t xml:space="preserve">DB</t>
    </r>
  </si>
  <si>
    <r>
      <rPr>
        <i val="true"/>
        <sz val="10"/>
        <color rgb="FF595959"/>
        <rFont val="Arial"/>
        <family val="0"/>
        <charset val="1"/>
      </rPr>
      <t xml:space="preserve">HIRA </t>
    </r>
    <r>
      <rPr>
        <i val="true"/>
        <sz val="10"/>
        <color rgb="FF595959"/>
        <rFont val="Noto Sans CJK SC"/>
        <family val="2"/>
      </rPr>
      <t xml:space="preserve">「암환자에게 처방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투여하는 약제에 대한 요양급여의 적용기준 및 방법에 관한 세부사항」 기반</t>
    </r>
  </si>
  <si>
    <r>
      <rPr>
        <b val="true"/>
        <sz val="10"/>
        <rFont val="Noto Sans CJK SC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공고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</si>
  <si>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건강보험심사평가원 공고 제</t>
    </r>
    <r>
      <rPr>
        <sz val="10"/>
        <rFont val="Arial"/>
        <family val="0"/>
        <charset val="1"/>
      </rPr>
      <t xml:space="preserve">2025-210</t>
    </r>
    <r>
      <rPr>
        <sz val="10"/>
        <rFont val="Noto Sans CJK SC"/>
        <family val="2"/>
      </rPr>
      <t xml:space="preserve">호 </t>
    </r>
    <r>
      <rPr>
        <sz val="10"/>
        <rFont val="Arial"/>
        <family val="0"/>
        <charset val="1"/>
      </rPr>
      <t xml:space="preserve">(2025.10.1. </t>
    </r>
    <r>
      <rPr>
        <sz val="10"/>
        <rFont val="Noto Sans CJK SC"/>
        <family val="2"/>
      </rPr>
      <t xml:space="preserve">시행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발간 </t>
    </r>
    <r>
      <rPr>
        <sz val="10"/>
        <rFont val="Arial"/>
        <family val="0"/>
        <charset val="1"/>
      </rPr>
      <t xml:space="preserve">G000DB5-2025-140 (2025.12)</t>
    </r>
  </si>
  <si>
    <t xml:space="preserve">암종 분류 체계</t>
  </si>
  <si>
    <r>
      <rPr>
        <sz val="10"/>
        <rFont val="Noto Sans CJK SC"/>
        <family val="2"/>
      </rPr>
      <t xml:space="preserve">공고 본문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주요 암종별 항암요법</t>
    </r>
    <r>
      <rPr>
        <sz val="10"/>
        <rFont val="Arial"/>
        <family val="0"/>
        <charset val="1"/>
      </rPr>
      <t xml:space="preserve">' 40</t>
    </r>
    <r>
      <rPr>
        <sz val="10"/>
        <rFont val="Noto Sans CJK SC"/>
        <family val="2"/>
      </rPr>
      <t xml:space="preserve">개 카테고리 </t>
    </r>
    <r>
      <rPr>
        <sz val="10"/>
        <rFont val="Arial"/>
        <family val="0"/>
        <charset val="1"/>
      </rPr>
      <t xml:space="preserve">(1.</t>
    </r>
    <r>
      <rPr>
        <sz val="10"/>
        <rFont val="Noto Sans CJK SC"/>
        <family val="2"/>
      </rPr>
      <t xml:space="preserve">소세포폐암 </t>
    </r>
    <r>
      <rPr>
        <sz val="10"/>
        <rFont val="Arial"/>
        <family val="0"/>
        <charset val="1"/>
      </rPr>
      <t xml:space="preserve">~ 40.</t>
    </r>
    <r>
      <rPr>
        <sz val="10"/>
        <rFont val="Noto Sans CJK SC"/>
        <family val="2"/>
      </rPr>
      <t xml:space="preserve">기타 항암제 병용요법</t>
    </r>
    <r>
      <rPr>
        <sz val="10"/>
        <rFont val="Arial"/>
        <family val="0"/>
        <charset val="1"/>
      </rPr>
      <t xml:space="preserve">)</t>
    </r>
  </si>
  <si>
    <t xml:space="preserve">용량 데이터 원칙</t>
  </si>
  <si>
    <r>
      <rPr>
        <sz val="10"/>
        <rFont val="Noto Sans CJK SC"/>
        <family val="2"/>
      </rPr>
      <t xml:space="preserve">공고 본문은 </t>
    </r>
    <r>
      <rPr>
        <sz val="10"/>
        <rFont val="Arial"/>
        <family val="0"/>
        <charset val="1"/>
      </rPr>
      <t xml:space="preserve">mg/m² </t>
    </r>
    <r>
      <rPr>
        <sz val="10"/>
        <rFont val="Noto Sans CJK SC"/>
        <family val="2"/>
      </rPr>
      <t xml:space="preserve">상세 용량을 명시하지 않고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식약처 허가사항 기준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일반원칙 </t>
    </r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위임함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따라서 본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의 용법용량은 </t>
    </r>
    <r>
      <rPr>
        <sz val="10"/>
        <rFont val="Arial"/>
        <family val="0"/>
        <charset val="1"/>
      </rPr>
      <t xml:space="preserve">NCCN / </t>
    </r>
    <r>
      <rPr>
        <sz val="10"/>
        <rFont val="Noto Sans CJK SC"/>
        <family val="2"/>
      </rPr>
      <t xml:space="preserve">허가사항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표준 임상 레퍼런스로 보완 입력하였으며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'·'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컬럼에 표기</t>
    </r>
    <r>
      <rPr>
        <sz val="10"/>
        <rFont val="Arial"/>
        <family val="0"/>
        <charset val="1"/>
      </rPr>
      <t xml:space="preserve">.</t>
    </r>
  </si>
  <si>
    <t xml:space="preserve">★ 사용법</t>
  </si>
  <si>
    <r>
      <rPr>
        <b val="true"/>
        <sz val="10"/>
        <rFont val="Arial"/>
        <family val="0"/>
        <charset val="1"/>
      </rPr>
      <t xml:space="preserve">1) </t>
    </r>
    <r>
      <rPr>
        <b val="true"/>
        <sz val="10"/>
        <rFont val="Noto Sans CJK SC"/>
        <family val="2"/>
      </rPr>
      <t xml:space="preserve">계산기 시트</t>
    </r>
  </si>
  <si>
    <r>
      <rPr>
        <sz val="10"/>
        <rFont val="Noto Sans CJK SC"/>
        <family val="2"/>
      </rPr>
      <t xml:space="preserve">환자 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나이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혈청크레아티닌</t>
    </r>
    <r>
      <rPr>
        <sz val="10"/>
        <rFont val="Arial"/>
        <family val="0"/>
        <charset val="1"/>
      </rPr>
      <t xml:space="preserve">(SCr) </t>
    </r>
    <r>
      <rPr>
        <sz val="10"/>
        <rFont val="Noto Sans CJK SC"/>
        <family val="2"/>
      </rPr>
      <t xml:space="preserve">입력 → </t>
    </r>
    <r>
      <rPr>
        <sz val="10"/>
        <rFont val="Arial"/>
        <family val="0"/>
        <charset val="1"/>
      </rPr>
      <t xml:space="preserve">BSA(Mosteller/DuBois), CrCl(Cockcroft-Gault), Calvert</t>
    </r>
    <r>
      <rPr>
        <sz val="10"/>
        <rFont val="Noto Sans CJK SC"/>
        <family val="2"/>
      </rPr>
      <t xml:space="preserve">용 </t>
    </r>
    <r>
      <rPr>
        <sz val="10"/>
        <rFont val="Arial"/>
        <family val="0"/>
        <charset val="1"/>
      </rPr>
      <t xml:space="preserve">GFR </t>
    </r>
    <r>
      <rPr>
        <sz val="10"/>
        <rFont val="Noto Sans CJK SC"/>
        <family val="2"/>
      </rPr>
      <t xml:space="preserve">자동 산출</t>
    </r>
  </si>
  <si>
    <r>
      <rPr>
        <b val="true"/>
        <sz val="10"/>
        <rFont val="Arial"/>
        <family val="0"/>
        <charset val="1"/>
      </rPr>
      <t xml:space="preserve">2) </t>
    </r>
    <r>
      <rPr>
        <b val="true"/>
        <sz val="10"/>
        <rFont val="Noto Sans CJK SC"/>
        <family val="2"/>
      </rPr>
      <t xml:space="preserve">레지멘</t>
    </r>
    <r>
      <rPr>
        <b val="true"/>
        <sz val="10"/>
        <rFont val="Arial"/>
        <family val="0"/>
        <charset val="1"/>
      </rPr>
      <t xml:space="preserve">DB </t>
    </r>
    <r>
      <rPr>
        <b val="true"/>
        <sz val="10"/>
        <rFont val="Noto Sans CJK SC"/>
        <family val="2"/>
      </rPr>
      <t xml:space="preserve">시트</t>
    </r>
  </si>
  <si>
    <r>
      <rPr>
        <sz val="10"/>
        <rFont val="Noto Sans CJK SC"/>
        <family val="2"/>
      </rPr>
      <t xml:space="preserve">입력한 환자값 기준으로 모든 약제의 </t>
    </r>
    <r>
      <rPr>
        <sz val="10"/>
        <rFont val="Arial"/>
        <family val="0"/>
        <charset val="1"/>
      </rPr>
      <t xml:space="preserve">'1</t>
    </r>
    <r>
      <rPr>
        <sz val="10"/>
        <rFont val="Noto Sans CJK SC"/>
        <family val="2"/>
      </rPr>
      <t xml:space="preserve">회용량</t>
    </r>
    <r>
      <rPr>
        <sz val="10"/>
        <rFont val="Arial"/>
        <family val="0"/>
        <charset val="1"/>
      </rPr>
      <t xml:space="preserve">(mg)'·'</t>
    </r>
    <r>
      <rPr>
        <sz val="10"/>
        <rFont val="Noto Sans CJK SC"/>
        <family val="2"/>
      </rPr>
      <t xml:space="preserve">주기총량</t>
    </r>
    <r>
      <rPr>
        <sz val="10"/>
        <rFont val="Arial"/>
        <family val="0"/>
        <charset val="1"/>
      </rPr>
      <t xml:space="preserve">(mg)'</t>
    </r>
    <r>
      <rPr>
        <sz val="10"/>
        <rFont val="Noto Sans CJK SC"/>
        <family val="2"/>
      </rPr>
      <t xml:space="preserve">이 자동 계산됨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계산기 시트값을 실시간 참조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</si>
  <si>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3) </t>
    </r>
    <r>
      <rPr>
        <b val="true"/>
        <sz val="10"/>
        <rFont val="Noto Sans CJK SC"/>
        <family val="2"/>
      </rPr>
      <t xml:space="preserve">키트루다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적응증</t>
    </r>
  </si>
  <si>
    <r>
      <rPr>
        <sz val="10"/>
        <rFont val="Arial"/>
        <family val="0"/>
        <charset val="1"/>
      </rPr>
      <t xml:space="preserve">pembrolizumab </t>
    </r>
    <r>
      <rPr>
        <sz val="10"/>
        <rFont val="Noto Sans CJK SC"/>
        <family val="2"/>
      </rPr>
      <t xml:space="preserve">국내 급여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 암종 전체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용법 </t>
    </r>
    <r>
      <rPr>
        <sz val="10"/>
        <rFont val="Arial"/>
        <family val="0"/>
        <charset val="1"/>
      </rPr>
      <t xml:space="preserve">200mg q3w / 400mg q6w 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+ 2026.1 </t>
    </r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</si>
  <si>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4) </t>
    </r>
    <r>
      <rPr>
        <b val="true"/>
        <sz val="10"/>
        <rFont val="Noto Sans CJK SC"/>
        <family val="2"/>
      </rPr>
      <t xml:space="preserve">단위 규칙</t>
    </r>
  </si>
  <si>
    <r>
      <rPr>
        <sz val="10"/>
        <rFont val="Arial"/>
        <family val="0"/>
        <charset val="1"/>
      </rPr>
      <t xml:space="preserve">mg/m²→×BSA / mg/m²/day→×BSA / mg/kg→×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/ AUC→Calvert(AUC×(GFR+25)) / mg→</t>
    </r>
    <r>
      <rPr>
        <sz val="10"/>
        <rFont val="Noto Sans CJK SC"/>
        <family val="2"/>
      </rPr>
      <t xml:space="preserve">고정용량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경구</t>
    </r>
    <r>
      <rPr>
        <sz val="10"/>
        <rFont val="Arial"/>
        <family val="0"/>
        <charset val="1"/>
      </rPr>
      <t xml:space="preserve">·IO 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</si>
  <si>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C00000"/>
        <rFont val="Noto Sans CJK SC"/>
        <family val="2"/>
      </rPr>
      <t xml:space="preserve">⚠ 면책 </t>
    </r>
    <r>
      <rPr>
        <b val="true"/>
        <sz val="10"/>
        <color rgb="FFC00000"/>
        <rFont val="Arial"/>
        <family val="0"/>
        <charset val="1"/>
      </rPr>
      <t xml:space="preserve">/ </t>
    </r>
    <r>
      <rPr>
        <b val="true"/>
        <sz val="10"/>
        <color rgb="FFC00000"/>
        <rFont val="Noto Sans CJK SC"/>
        <family val="2"/>
      </rPr>
      <t xml:space="preserve">검증</t>
    </r>
  </si>
  <si>
    <r>
      <rPr>
        <sz val="10"/>
        <rFont val="Noto Sans CJK SC"/>
        <family val="2"/>
      </rPr>
      <t xml:space="preserve">본 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는 레지멘 용량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계산 보조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도구입니다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처방은 반드시 최신 식약처 허가사항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공고 본문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기관 프로토콜과 대조하여 검증해야 합니다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컬럼이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검증필요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 행은 미확정 상태로 간주하십시오</t>
    </r>
    <r>
      <rPr>
        <sz val="10"/>
        <rFont val="Arial"/>
        <family val="0"/>
        <charset val="1"/>
      </rPr>
      <t xml:space="preserve">.</t>
    </r>
  </si>
  <si>
    <t xml:space="preserve">현재 버전</t>
  </si>
  <si>
    <r>
      <rPr>
        <sz val="10"/>
        <rFont val="Arial"/>
        <family val="0"/>
        <charset val="1"/>
      </rPr>
      <t xml:space="preserve">v2. 144</t>
    </r>
    <r>
      <rPr>
        <sz val="10"/>
        <rFont val="Noto Sans CJK SC"/>
        <family val="2"/>
      </rPr>
      <t xml:space="preserve">개 레지멘</t>
    </r>
    <r>
      <rPr>
        <sz val="10"/>
        <rFont val="Arial"/>
        <family val="0"/>
        <charset val="1"/>
      </rPr>
      <t xml:space="preserve">/252 </t>
    </r>
    <r>
      <rPr>
        <sz val="10"/>
        <rFont val="Noto Sans CJK SC"/>
        <family val="2"/>
      </rPr>
      <t xml:space="preserve">약제행</t>
    </r>
    <r>
      <rPr>
        <sz val="10"/>
        <rFont val="Arial"/>
        <family val="0"/>
        <charset val="1"/>
      </rPr>
      <t xml:space="preserve">. 10</t>
    </r>
    <r>
      <rPr>
        <sz val="10"/>
        <rFont val="Noto Sans CJK SC"/>
        <family val="2"/>
      </rPr>
      <t xml:space="preserve">대 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갑상선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전립선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췌장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담낭담도</t>
    </r>
    <r>
      <rPr>
        <sz val="10"/>
        <rFont val="Arial"/>
        <family val="0"/>
        <charset val="1"/>
      </rPr>
      <t xml:space="preserve">) comprehensive </t>
    </r>
    <r>
      <rPr>
        <sz val="10"/>
        <rFont val="Noto Sans CJK SC"/>
        <family val="2"/>
      </rPr>
      <t xml:space="preserve">반영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키트루다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개 암종 전체</t>
    </r>
    <r>
      <rPr>
        <sz val="10"/>
        <rFont val="Arial"/>
        <family val="0"/>
        <charset val="1"/>
      </rPr>
      <t xml:space="preserve">. 130</t>
    </r>
    <r>
      <rPr>
        <sz val="10"/>
        <rFont val="Noto Sans CJK SC"/>
        <family val="2"/>
      </rPr>
      <t xml:space="preserve">개 레지멘 </t>
    </r>
    <r>
      <rPr>
        <sz val="10"/>
        <rFont val="Arial"/>
        <family val="0"/>
        <charset val="1"/>
      </rPr>
      <t xml:space="preserve">NCCN v2025 </t>
    </r>
    <r>
      <rPr>
        <sz val="10"/>
        <rFont val="Noto Sans CJK SC"/>
        <family val="2"/>
      </rPr>
      <t xml:space="preserve">대조 검증 완료</t>
    </r>
    <r>
      <rPr>
        <sz val="10"/>
        <rFont val="Arial"/>
        <family val="0"/>
        <charset val="1"/>
      </rPr>
      <t xml:space="preserve">, 14</t>
    </r>
    <r>
      <rPr>
        <sz val="10"/>
        <rFont val="Noto Sans CJK SC"/>
        <family val="2"/>
      </rPr>
      <t xml:space="preserve">개 검증필요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희귀암 위주</t>
    </r>
    <r>
      <rPr>
        <sz val="10"/>
        <rFont val="Arial"/>
        <family val="0"/>
        <charset val="1"/>
      </rPr>
      <t xml:space="preserve">).</t>
    </r>
  </si>
  <si>
    <t xml:space="preserve">투여요법 약어</t>
  </si>
  <si>
    <r>
      <rPr>
        <sz val="10"/>
        <rFont val="Arial"/>
        <family val="0"/>
        <charset val="1"/>
      </rPr>
      <t xml:space="preserve">N=</t>
    </r>
    <r>
      <rPr>
        <sz val="10"/>
        <rFont val="Noto Sans CJK SC"/>
        <family val="2"/>
      </rPr>
      <t xml:space="preserve">선행화학요법</t>
    </r>
    <r>
      <rPr>
        <sz val="10"/>
        <rFont val="Arial"/>
        <family val="0"/>
        <charset val="1"/>
      </rPr>
      <t xml:space="preserve">(neoadjuvant) / A=</t>
    </r>
    <r>
      <rPr>
        <sz val="10"/>
        <rFont val="Noto Sans CJK SC"/>
        <family val="2"/>
      </rPr>
      <t xml:space="preserve">수술후보조요법</t>
    </r>
    <r>
      <rPr>
        <sz val="10"/>
        <rFont val="Arial"/>
        <family val="0"/>
        <charset val="1"/>
      </rPr>
      <t xml:space="preserve">(adjuvant) / P=</t>
    </r>
    <r>
      <rPr>
        <sz val="10"/>
        <rFont val="Noto Sans CJK SC"/>
        <family val="2"/>
      </rPr>
      <t xml:space="preserve">고식적요법</t>
    </r>
    <r>
      <rPr>
        <sz val="10"/>
        <rFont val="Arial"/>
        <family val="0"/>
        <charset val="1"/>
      </rPr>
      <t xml:space="preserve">(palliative) / S=</t>
    </r>
    <r>
      <rPr>
        <sz val="10"/>
        <rFont val="Noto Sans CJK SC"/>
        <family val="2"/>
      </rPr>
      <t xml:space="preserve">구제요법</t>
    </r>
    <r>
      <rPr>
        <sz val="10"/>
        <rFont val="Arial"/>
        <family val="0"/>
        <charset val="1"/>
      </rPr>
      <t xml:space="preserve">(salvage)</t>
    </r>
  </si>
  <si>
    <r>
      <rPr>
        <sz val="10"/>
        <rFont val="Noto Sans CJK SC"/>
        <family val="2"/>
      </rPr>
      <t xml:space="preserve">관해유도</t>
    </r>
    <r>
      <rPr>
        <sz val="10"/>
        <rFont val="Arial"/>
        <family val="0"/>
        <charset val="1"/>
      </rPr>
      <t xml:space="preserve">(induction) / </t>
    </r>
    <r>
      <rPr>
        <sz val="10"/>
        <rFont val="Noto Sans CJK SC"/>
        <family val="2"/>
      </rPr>
      <t xml:space="preserve">관해공고</t>
    </r>
    <r>
      <rPr>
        <sz val="10"/>
        <rFont val="Arial"/>
        <family val="0"/>
        <charset val="1"/>
      </rPr>
      <t xml:space="preserve">(consolidation) / </t>
    </r>
    <r>
      <rPr>
        <sz val="10"/>
        <rFont val="Noto Sans CJK SC"/>
        <family val="2"/>
      </rPr>
      <t xml:space="preserve">관해유지</t>
    </r>
    <r>
      <rPr>
        <sz val="10"/>
        <rFont val="Arial"/>
        <family val="0"/>
        <charset val="1"/>
      </rPr>
      <t xml:space="preserve">(maintenance) / </t>
    </r>
    <r>
      <rPr>
        <sz val="10"/>
        <rFont val="Noto Sans CJK SC"/>
        <family val="2"/>
      </rPr>
      <t xml:space="preserve">강화</t>
    </r>
    <r>
      <rPr>
        <sz val="10"/>
        <rFont val="Arial"/>
        <family val="0"/>
        <charset val="1"/>
      </rPr>
      <t xml:space="preserve">(intensification) / CNS</t>
    </r>
    <r>
      <rPr>
        <sz val="10"/>
        <rFont val="Noto Sans CJK SC"/>
        <family val="2"/>
      </rPr>
      <t xml:space="preserve">예방</t>
    </r>
    <r>
      <rPr>
        <sz val="10"/>
        <rFont val="Arial"/>
        <family val="0"/>
        <charset val="1"/>
      </rPr>
      <t xml:space="preserve">(prophylaxis)</t>
    </r>
  </si>
  <si>
    <t xml:space="preserve">투여경로 약어</t>
  </si>
  <si>
    <r>
      <rPr>
        <sz val="10"/>
        <rFont val="Arial"/>
        <family val="0"/>
        <charset val="1"/>
      </rPr>
      <t xml:space="preserve">IV=</t>
    </r>
    <r>
      <rPr>
        <sz val="10"/>
        <rFont val="Noto Sans CJK SC"/>
        <family val="2"/>
      </rPr>
      <t xml:space="preserve">정맥내 </t>
    </r>
    <r>
      <rPr>
        <sz val="10"/>
        <rFont val="Arial"/>
        <family val="0"/>
        <charset val="1"/>
      </rPr>
      <t xml:space="preserve">/ PO=</t>
    </r>
    <r>
      <rPr>
        <sz val="10"/>
        <rFont val="Noto Sans CJK SC"/>
        <family val="2"/>
      </rPr>
      <t xml:space="preserve">경구 </t>
    </r>
    <r>
      <rPr>
        <sz val="10"/>
        <rFont val="Arial"/>
        <family val="0"/>
        <charset val="1"/>
      </rPr>
      <t xml:space="preserve">/ SC=</t>
    </r>
    <r>
      <rPr>
        <sz val="10"/>
        <rFont val="Noto Sans CJK SC"/>
        <family val="2"/>
      </rPr>
      <t xml:space="preserve">피하 </t>
    </r>
    <r>
      <rPr>
        <sz val="10"/>
        <rFont val="Arial"/>
        <family val="0"/>
        <charset val="1"/>
      </rPr>
      <t xml:space="preserve">/ IM=</t>
    </r>
    <r>
      <rPr>
        <sz val="10"/>
        <rFont val="Noto Sans CJK SC"/>
        <family val="2"/>
      </rPr>
      <t xml:space="preserve">근육내 </t>
    </r>
    <r>
      <rPr>
        <sz val="10"/>
        <rFont val="Arial"/>
        <family val="0"/>
        <charset val="1"/>
      </rPr>
      <t xml:space="preserve">/ IT=</t>
    </r>
    <r>
      <rPr>
        <sz val="10"/>
        <rFont val="Noto Sans CJK SC"/>
        <family val="2"/>
      </rPr>
      <t xml:space="preserve">척수강내</t>
    </r>
  </si>
  <si>
    <r>
      <rPr>
        <b val="true"/>
        <sz val="10"/>
        <rFont val="Noto Sans CJK SC"/>
        <family val="2"/>
      </rPr>
      <t xml:space="preserve">약제군 </t>
    </r>
    <r>
      <rPr>
        <b val="true"/>
        <sz val="10"/>
        <rFont val="Arial"/>
        <family val="0"/>
        <charset val="1"/>
      </rPr>
      <t xml:space="preserve">(1</t>
    </r>
    <r>
      <rPr>
        <b val="true"/>
        <sz val="10"/>
        <rFont val="Noto Sans CJK SC"/>
        <family val="2"/>
      </rPr>
      <t xml:space="preserve">군</t>
    </r>
    <r>
      <rPr>
        <b val="true"/>
        <sz val="10"/>
        <rFont val="Arial"/>
        <family val="0"/>
        <charset val="1"/>
      </rPr>
      <t xml:space="preserve">/2</t>
    </r>
    <r>
      <rPr>
        <b val="true"/>
        <sz val="10"/>
        <rFont val="Noto Sans CJK SC"/>
        <family val="2"/>
      </rPr>
      <t xml:space="preserve">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</si>
  <si>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암질환심의위원회가 별도 지정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투여대상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요법 명시 적용</t>
    </r>
    <r>
      <rPr>
        <sz val="10"/>
        <rFont val="Arial"/>
        <family val="0"/>
        <charset val="1"/>
      </rPr>
      <t xml:space="preserve">). 1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의학적 판단 하 허가범위 사용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약제군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 참조</t>
    </r>
  </si>
  <si>
    <r>
      <rPr>
        <b val="true"/>
        <sz val="14"/>
        <color rgb="FF1F4E78"/>
        <rFont val="Noto Sans CJK SC"/>
        <family val="2"/>
      </rPr>
      <t xml:space="preserve">환자 파라미터 입력 → 체표면적</t>
    </r>
    <r>
      <rPr>
        <b val="true"/>
        <sz val="14"/>
        <color rgb="FF1F4E78"/>
        <rFont val="Arial"/>
        <family val="0"/>
        <charset val="1"/>
      </rPr>
      <t xml:space="preserve">·</t>
    </r>
    <r>
      <rPr>
        <b val="true"/>
        <sz val="14"/>
        <color rgb="FF1F4E78"/>
        <rFont val="Noto Sans CJK SC"/>
        <family val="2"/>
      </rPr>
      <t xml:space="preserve">신기능 자동계산</t>
    </r>
  </si>
  <si>
    <r>
      <rPr>
        <b val="true"/>
        <sz val="11"/>
        <color rgb="FFC00000"/>
        <rFont val="Noto Sans CJK SC"/>
        <family val="2"/>
      </rPr>
      <t xml:space="preserve">■ 입력값 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노란색 셀</t>
    </r>
    <r>
      <rPr>
        <b val="true"/>
        <sz val="11"/>
        <color rgb="FFC0000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</si>
  <si>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키 </t>
    </r>
    <r>
      <rPr>
        <b val="true"/>
        <sz val="10"/>
        <rFont val="Arial"/>
        <family val="0"/>
        <charset val="1"/>
      </rPr>
      <t xml:space="preserve">(Height)</t>
    </r>
  </si>
  <si>
    <t xml:space="preserve">cm</t>
  </si>
  <si>
    <r>
      <rPr>
        <sz val="9"/>
        <color rgb="FF595959"/>
        <rFont val="Noto Sans CJK SC"/>
        <family val="2"/>
      </rPr>
      <t xml:space="preserve">예</t>
    </r>
    <r>
      <rPr>
        <sz val="9"/>
        <color rgb="FF595959"/>
        <rFont val="Arial"/>
        <family val="0"/>
        <charset val="1"/>
      </rPr>
      <t xml:space="preserve">: 165</t>
    </r>
  </si>
  <si>
    <r>
      <rPr>
        <b val="true"/>
        <sz val="10"/>
        <rFont val="Noto Sans CJK SC"/>
        <family val="2"/>
      </rPr>
      <t xml:space="preserve">체중 </t>
    </r>
    <r>
      <rPr>
        <b val="true"/>
        <sz val="10"/>
        <rFont val="Arial"/>
        <family val="0"/>
        <charset val="1"/>
      </rPr>
      <t xml:space="preserve">(Weight)</t>
    </r>
  </si>
  <si>
    <t xml:space="preserve">kg</t>
  </si>
  <si>
    <r>
      <rPr>
        <sz val="9"/>
        <color rgb="FF595959"/>
        <rFont val="Noto Sans CJK SC"/>
        <family val="2"/>
      </rPr>
      <t xml:space="preserve">예</t>
    </r>
    <r>
      <rPr>
        <sz val="9"/>
        <color rgb="FF595959"/>
        <rFont val="Arial"/>
        <family val="0"/>
        <charset val="1"/>
      </rPr>
      <t xml:space="preserve">: 62</t>
    </r>
  </si>
  <si>
    <r>
      <rPr>
        <b val="true"/>
        <sz val="10"/>
        <rFont val="Noto Sans CJK SC"/>
        <family val="2"/>
      </rPr>
      <t xml:space="preserve">나이 </t>
    </r>
    <r>
      <rPr>
        <b val="true"/>
        <sz val="10"/>
        <rFont val="Arial"/>
        <family val="0"/>
        <charset val="1"/>
      </rPr>
      <t xml:space="preserve">(Age)</t>
    </r>
  </si>
  <si>
    <t xml:space="preserve">세</t>
  </si>
  <si>
    <r>
      <rPr>
        <sz val="9"/>
        <color rgb="FF595959"/>
        <rFont val="Arial"/>
        <family val="0"/>
        <charset val="1"/>
      </rPr>
      <t xml:space="preserve">Cockcroft-Gault</t>
    </r>
    <r>
      <rPr>
        <sz val="9"/>
        <color rgb="FF595959"/>
        <rFont val="Noto Sans CJK SC"/>
        <family val="2"/>
      </rPr>
      <t xml:space="preserve">용</t>
    </r>
  </si>
  <si>
    <r>
      <rPr>
        <b val="true"/>
        <sz val="10"/>
        <rFont val="Noto Sans CJK SC"/>
        <family val="2"/>
      </rPr>
      <t xml:space="preserve">성별 </t>
    </r>
    <r>
      <rPr>
        <b val="true"/>
        <sz val="10"/>
        <rFont val="Arial"/>
        <family val="0"/>
        <charset val="1"/>
      </rPr>
      <t xml:space="preserve">(Sex)</t>
    </r>
  </si>
  <si>
    <t xml:space="preserve">M</t>
  </si>
  <si>
    <t xml:space="preserve">M/F</t>
  </si>
  <si>
    <r>
      <rPr>
        <sz val="9"/>
        <color rgb="FF595959"/>
        <rFont val="Noto Sans CJK SC"/>
        <family val="2"/>
      </rPr>
      <t xml:space="preserve">여성이면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입력 </t>
    </r>
    <r>
      <rPr>
        <sz val="9"/>
        <color rgb="FF595959"/>
        <rFont val="Arial"/>
        <family val="0"/>
        <charset val="1"/>
      </rPr>
      <t xml:space="preserve">(CrCl ×0.85)</t>
    </r>
  </si>
  <si>
    <r>
      <rPr>
        <b val="true"/>
        <sz val="10"/>
        <rFont val="Noto Sans CJK SC"/>
        <family val="2"/>
      </rPr>
      <t xml:space="preserve">혈청크레아티닌 </t>
    </r>
    <r>
      <rPr>
        <b val="true"/>
        <sz val="10"/>
        <rFont val="Arial"/>
        <family val="0"/>
        <charset val="1"/>
      </rPr>
      <t xml:space="preserve">(SCr)</t>
    </r>
  </si>
  <si>
    <t xml:space="preserve">mg/dL</t>
  </si>
  <si>
    <r>
      <rPr>
        <sz val="9"/>
        <color rgb="FF595959"/>
        <rFont val="Noto Sans CJK SC"/>
        <family val="2"/>
      </rPr>
      <t xml:space="preserve">예</t>
    </r>
    <r>
      <rPr>
        <sz val="9"/>
        <color rgb="FF595959"/>
        <rFont val="Arial"/>
        <family val="0"/>
        <charset val="1"/>
      </rPr>
      <t xml:space="preserve">: 0.9</t>
    </r>
  </si>
  <si>
    <r>
      <rPr>
        <b val="true"/>
        <sz val="11"/>
        <color rgb="FF375623"/>
        <rFont val="Noto Sans CJK SC"/>
        <family val="2"/>
      </rPr>
      <t xml:space="preserve">■ 자동 계산값 </t>
    </r>
    <r>
      <rPr>
        <b val="true"/>
        <sz val="11"/>
        <color rgb="FF375623"/>
        <rFont val="Arial"/>
        <family val="0"/>
        <charset val="1"/>
      </rPr>
      <t xml:space="preserve">(</t>
    </r>
    <r>
      <rPr>
        <b val="true"/>
        <sz val="11"/>
        <color rgb="FF375623"/>
        <rFont val="Noto Sans CJK SC"/>
        <family val="2"/>
      </rPr>
      <t xml:space="preserve">녹색 셀</t>
    </r>
    <r>
      <rPr>
        <b val="true"/>
        <sz val="11"/>
        <color rgb="FF375623"/>
        <rFont val="Arial"/>
        <family val="0"/>
        <charset val="1"/>
      </rPr>
      <t xml:space="preserve">)</t>
    </r>
  </si>
  <si>
    <t xml:space="preserve">BSA – Mosteller</t>
  </si>
  <si>
    <t xml:space="preserve">m²</t>
  </si>
  <si>
    <r>
      <rPr>
        <sz val="9"/>
        <color rgb="FF595959"/>
        <rFont val="Noto Sans CJK SC"/>
        <family val="2"/>
      </rPr>
      <t xml:space="preserve">산식</t>
    </r>
    <r>
      <rPr>
        <sz val="9"/>
        <color rgb="FF595959"/>
        <rFont val="Arial"/>
        <family val="0"/>
        <charset val="1"/>
      </rPr>
      <t xml:space="preserve">: √(</t>
    </r>
    <r>
      <rPr>
        <sz val="9"/>
        <color rgb="FF595959"/>
        <rFont val="Noto Sans CJK SC"/>
        <family val="2"/>
      </rPr>
      <t xml:space="preserve">키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체중</t>
    </r>
    <r>
      <rPr>
        <sz val="9"/>
        <color rgb="FF595959"/>
        <rFont val="Arial"/>
        <family val="0"/>
        <charset val="1"/>
      </rPr>
      <t xml:space="preserve">/3600)</t>
    </r>
  </si>
  <si>
    <t xml:space="preserve">BSA – DuBois</t>
  </si>
  <si>
    <r>
      <rPr>
        <sz val="9"/>
        <color rgb="FF595959"/>
        <rFont val="Noto Sans CJK SC"/>
        <family val="2"/>
      </rPr>
      <t xml:space="preserve">산식</t>
    </r>
    <r>
      <rPr>
        <sz val="9"/>
        <color rgb="FF595959"/>
        <rFont val="Arial"/>
        <family val="0"/>
        <charset val="1"/>
      </rPr>
      <t xml:space="preserve">: 0.007184×</t>
    </r>
    <r>
      <rPr>
        <sz val="9"/>
        <color rgb="FF595959"/>
        <rFont val="Noto Sans CJK SC"/>
        <family val="2"/>
      </rPr>
      <t xml:space="preserve">키</t>
    </r>
    <r>
      <rPr>
        <sz val="9"/>
        <color rgb="FF595959"/>
        <rFont val="Arial"/>
        <family val="0"/>
        <charset val="1"/>
      </rPr>
      <t xml:space="preserve">^0.725×</t>
    </r>
    <r>
      <rPr>
        <sz val="9"/>
        <color rgb="FF595959"/>
        <rFont val="Noto Sans CJK SC"/>
        <family val="2"/>
      </rPr>
      <t xml:space="preserve">체중</t>
    </r>
    <r>
      <rPr>
        <sz val="9"/>
        <color rgb="FF595959"/>
        <rFont val="Arial"/>
        <family val="0"/>
        <charset val="1"/>
      </rPr>
      <t xml:space="preserve">^0.425</t>
    </r>
  </si>
  <si>
    <r>
      <rPr>
        <b val="true"/>
        <sz val="10"/>
        <rFont val="Noto Sans CJK SC"/>
        <family val="2"/>
      </rPr>
      <t xml:space="preserve">적용 </t>
    </r>
    <r>
      <rPr>
        <b val="true"/>
        <sz val="10"/>
        <rFont val="Arial"/>
        <family val="0"/>
        <charset val="1"/>
      </rPr>
      <t xml:space="preserve">BSA</t>
    </r>
  </si>
  <si>
    <r>
      <rPr>
        <sz val="9"/>
        <color rgb="FF595959"/>
        <rFont val="Noto Sans CJK SC"/>
        <family val="2"/>
      </rPr>
      <t xml:space="preserve">레지멘</t>
    </r>
    <r>
      <rPr>
        <sz val="9"/>
        <color rgb="FF595959"/>
        <rFont val="Arial"/>
        <family val="0"/>
        <charset val="1"/>
      </rPr>
      <t xml:space="preserve">DB </t>
    </r>
    <r>
      <rPr>
        <sz val="9"/>
        <color rgb="FF595959"/>
        <rFont val="Noto Sans CJK SC"/>
        <family val="2"/>
      </rPr>
      <t xml:space="preserve">계산에 사용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기본</t>
    </r>
    <r>
      <rPr>
        <sz val="9"/>
        <color rgb="FF595959"/>
        <rFont val="Arial"/>
        <family val="0"/>
        <charset val="1"/>
      </rPr>
      <t xml:space="preserve">=Mosteller)</t>
    </r>
  </si>
  <si>
    <t xml:space="preserve">CrCl – Cockcroft-Gault</t>
  </si>
  <si>
    <t xml:space="preserve">mL/min</t>
  </si>
  <si>
    <r>
      <rPr>
        <sz val="9"/>
        <color rgb="FF595959"/>
        <rFont val="Noto Sans CJK SC"/>
        <family val="2"/>
      </rPr>
      <t xml:space="preserve">산식</t>
    </r>
    <r>
      <rPr>
        <sz val="9"/>
        <color rgb="FF595959"/>
        <rFont val="Arial"/>
        <family val="0"/>
        <charset val="1"/>
      </rPr>
      <t xml:space="preserve">: (140−</t>
    </r>
    <r>
      <rPr>
        <sz val="9"/>
        <color rgb="FF595959"/>
        <rFont val="Noto Sans CJK SC"/>
        <family val="2"/>
      </rPr>
      <t xml:space="preserve">나이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체중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성별계수 </t>
    </r>
    <r>
      <rPr>
        <sz val="9"/>
        <color rgb="FF595959"/>
        <rFont val="Arial"/>
        <family val="0"/>
        <charset val="1"/>
      </rPr>
      <t xml:space="preserve">/ (72×SCr)</t>
    </r>
  </si>
  <si>
    <r>
      <rPr>
        <b val="true"/>
        <sz val="10"/>
        <rFont val="Noto Sans CJK SC"/>
        <family val="2"/>
      </rPr>
      <t xml:space="preserve">적용 </t>
    </r>
    <r>
      <rPr>
        <b val="true"/>
        <sz val="10"/>
        <rFont val="Arial"/>
        <family val="0"/>
        <charset val="1"/>
      </rPr>
      <t xml:space="preserve">GFR (Calvert, ≤125 cap)</t>
    </r>
  </si>
  <si>
    <r>
      <rPr>
        <sz val="9"/>
        <color rgb="FF595959"/>
        <rFont val="Arial"/>
        <family val="0"/>
        <charset val="1"/>
      </rPr>
      <t xml:space="preserve">carboplatin AUC </t>
    </r>
    <r>
      <rPr>
        <sz val="9"/>
        <color rgb="FF595959"/>
        <rFont val="Noto Sans CJK SC"/>
        <family val="2"/>
      </rPr>
      <t xml:space="preserve">용량 산정용</t>
    </r>
  </si>
  <si>
    <r>
      <rPr>
        <i val="true"/>
        <sz val="9"/>
        <color rgb="FF595959"/>
        <rFont val="Noto Sans CJK SC"/>
        <family val="2"/>
      </rPr>
      <t xml:space="preserve">참고</t>
    </r>
    <r>
      <rPr>
        <i val="true"/>
        <sz val="9"/>
        <color rgb="FF595959"/>
        <rFont val="Arial"/>
        <family val="0"/>
        <charset val="1"/>
      </rPr>
      <t xml:space="preserve">: Calvert </t>
    </r>
    <r>
      <rPr>
        <i val="true"/>
        <sz val="9"/>
        <color rgb="FF595959"/>
        <rFont val="Noto Sans CJK SC"/>
        <family val="2"/>
      </rPr>
      <t xml:space="preserve">식 → </t>
    </r>
    <r>
      <rPr>
        <i val="true"/>
        <sz val="9"/>
        <color rgb="FF595959"/>
        <rFont val="Arial"/>
        <family val="0"/>
        <charset val="1"/>
      </rPr>
      <t xml:space="preserve">carboplatin </t>
    </r>
    <r>
      <rPr>
        <i val="true"/>
        <sz val="9"/>
        <color rgb="FF595959"/>
        <rFont val="Noto Sans CJK SC"/>
        <family val="2"/>
      </rPr>
      <t xml:space="preserve">용량</t>
    </r>
    <r>
      <rPr>
        <i val="true"/>
        <sz val="9"/>
        <color rgb="FF595959"/>
        <rFont val="Arial"/>
        <family val="0"/>
        <charset val="1"/>
      </rPr>
      <t xml:space="preserve">(mg) = </t>
    </r>
    <r>
      <rPr>
        <i val="true"/>
        <sz val="9"/>
        <color rgb="FF595959"/>
        <rFont val="Noto Sans CJK SC"/>
        <family val="2"/>
      </rPr>
      <t xml:space="preserve">목표</t>
    </r>
    <r>
      <rPr>
        <i val="true"/>
        <sz val="9"/>
        <color rgb="FF595959"/>
        <rFont val="Arial"/>
        <family val="0"/>
        <charset val="1"/>
      </rPr>
      <t xml:space="preserve">AUC × (</t>
    </r>
    <r>
      <rPr>
        <i val="true"/>
        <sz val="9"/>
        <color rgb="FF595959"/>
        <rFont val="Noto Sans CJK SC"/>
        <family val="2"/>
      </rPr>
      <t xml:space="preserve">적용</t>
    </r>
    <r>
      <rPr>
        <i val="true"/>
        <sz val="9"/>
        <color rgb="FF595959"/>
        <rFont val="Arial"/>
        <family val="0"/>
        <charset val="1"/>
      </rPr>
      <t xml:space="preserve">GFR + 25).  </t>
    </r>
    <r>
      <rPr>
        <i val="true"/>
        <sz val="9"/>
        <color rgb="FF595959"/>
        <rFont val="Noto Sans CJK SC"/>
        <family val="2"/>
      </rPr>
      <t xml:space="preserve">적용</t>
    </r>
    <r>
      <rPr>
        <i val="true"/>
        <sz val="9"/>
        <color rgb="FF595959"/>
        <rFont val="Arial"/>
        <family val="0"/>
        <charset val="1"/>
      </rPr>
      <t xml:space="preserve">GFR</t>
    </r>
    <r>
      <rPr>
        <i val="true"/>
        <sz val="9"/>
        <color rgb="FF595959"/>
        <rFont val="Noto Sans CJK SC"/>
        <family val="2"/>
      </rPr>
      <t xml:space="preserve">은 과다추정 방지 위해 </t>
    </r>
    <r>
      <rPr>
        <i val="true"/>
        <sz val="9"/>
        <color rgb="FF595959"/>
        <rFont val="Arial"/>
        <family val="0"/>
        <charset val="1"/>
      </rPr>
      <t xml:space="preserve">125 mL/min</t>
    </r>
    <r>
      <rPr>
        <i val="true"/>
        <sz val="9"/>
        <color rgb="FF595959"/>
        <rFont val="Noto Sans CJK SC"/>
        <family val="2"/>
      </rPr>
      <t xml:space="preserve">로 상한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</si>
  <si>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레지멘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</si>
  <si>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암종번호</t>
  </si>
  <si>
    <t xml:space="preserve">암종</t>
  </si>
  <si>
    <t xml:space="preserve">레지멘명</t>
  </si>
  <si>
    <t xml:space="preserve">투여요법</t>
  </si>
  <si>
    <t xml:space="preserve">투여단계</t>
  </si>
  <si>
    <t xml:space="preserve">약제성분</t>
  </si>
  <si>
    <t xml:space="preserve">약제군</t>
  </si>
  <si>
    <t xml:space="preserve">용량값</t>
  </si>
  <si>
    <t xml:space="preserve">단위</t>
  </si>
  <si>
    <t xml:space="preserve">투여일</t>
  </si>
  <si>
    <r>
      <rPr>
        <b val="true"/>
        <sz val="10"/>
        <color rgb="FFFFFFFF"/>
        <rFont val="Noto Sans CJK SC"/>
        <family val="2"/>
      </rPr>
      <t xml:space="preserve">회수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주기</t>
    </r>
  </si>
  <si>
    <r>
      <rPr>
        <b val="true"/>
        <sz val="10"/>
        <color rgb="FFFFFFFF"/>
        <rFont val="Noto Sans CJK SC"/>
        <family val="2"/>
      </rPr>
      <t xml:space="preserve">주기길이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</si>
  <si>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주기표기</t>
  </si>
  <si>
    <t xml:space="preserve">총사이클</t>
  </si>
  <si>
    <t xml:space="preserve">경로</t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</si>
  <si>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상한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</si>
  <si>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회용량</t>
    </r>
    <r>
      <rPr>
        <b val="true"/>
        <sz val="10"/>
        <color rgb="FFFFFFFF"/>
        <rFont val="Arial"/>
        <family val="0"/>
        <charset val="1"/>
      </rPr>
      <t xml:space="preserve">(mg)</t>
    </r>
  </si>
  <si>
    <r>
      <rPr>
        <b val="true"/>
        <sz val="10"/>
        <color rgb="FFFFFFFF"/>
        <rFont val="Noto Sans CJK SC"/>
        <family val="2"/>
      </rPr>
      <t xml:space="preserve">주기총량</t>
    </r>
    <r>
      <rPr>
        <b val="true"/>
        <sz val="10"/>
        <color rgb="FFFFFFFF"/>
        <rFont val="Arial"/>
        <family val="0"/>
        <charset val="1"/>
      </rPr>
      <t xml:space="preserve">(mg)</t>
    </r>
  </si>
  <si>
    <t xml:space="preserve">출처</t>
  </si>
  <si>
    <t xml:space="preserve">검증</t>
  </si>
  <si>
    <t xml:space="preserve">1-EP</t>
  </si>
  <si>
    <t xml:space="preserve">소세포폐암</t>
  </si>
  <si>
    <t xml:space="preserve">EP (Etoposide+Cisplatin)</t>
  </si>
  <si>
    <r>
      <rPr>
        <sz val="9"/>
        <rFont val="Arial"/>
        <family val="0"/>
        <charset val="1"/>
      </rPr>
      <t xml:space="preserve">P/</t>
    </r>
    <r>
      <rPr>
        <sz val="9"/>
        <rFont val="Noto Sans CJK SC"/>
        <family val="2"/>
      </rPr>
      <t xml:space="preserve">공고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</si>
  <si>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</si>
  <si>
    <t xml:space="preserve">Etoposide</t>
  </si>
  <si>
    <t xml:space="preserve">1</t>
  </si>
  <si>
    <t xml:space="preserve">mg/m²</t>
  </si>
  <si>
    <t xml:space="preserve">D1-3</t>
  </si>
  <si>
    <t xml:space="preserve">q3w</t>
  </si>
  <si>
    <t xml:space="preserve">IV</t>
  </si>
  <si>
    <r>
      <rPr>
        <sz val="8"/>
        <color rgb="FF595959"/>
        <rFont val="Arial"/>
        <family val="0"/>
        <charset val="1"/>
      </rPr>
      <t xml:space="preserve">NCCN v2025/</t>
    </r>
    <r>
      <rPr>
        <sz val="8"/>
        <color rgb="FF595959"/>
        <rFont val="Noto Sans CJK SC"/>
        <family val="2"/>
      </rPr>
      <t xml:space="preserve">허가사항</t>
    </r>
  </si>
  <si>
    <r>
      <rPr>
        <b val="true"/>
        <sz val="9"/>
        <color rgb="FF375623"/>
        <rFont val="Arial"/>
        <family val="0"/>
        <charset val="1"/>
      </rPr>
      <t xml:space="preserve">NCCN</t>
    </r>
    <r>
      <rPr>
        <b val="true"/>
        <sz val="9"/>
        <color rgb="FF375623"/>
        <rFont val="Noto Sans CJK SC"/>
        <family val="2"/>
      </rPr>
      <t xml:space="preserve">확인</t>
    </r>
  </si>
  <si>
    <t xml:space="preserve">Cisplatin</t>
  </si>
  <si>
    <t xml:space="preserve">D1</t>
  </si>
  <si>
    <r>
      <rPr>
        <sz val="9"/>
        <rFont val="Arial"/>
        <family val="0"/>
        <charset val="1"/>
      </rPr>
      <t xml:space="preserve">60-80 </t>
    </r>
    <r>
      <rPr>
        <sz val="9"/>
        <rFont val="Noto Sans CJK SC"/>
        <family val="2"/>
      </rPr>
      <t xml:space="preserve">범위</t>
    </r>
  </si>
  <si>
    <t xml:space="preserve">1-EC</t>
  </si>
  <si>
    <t xml:space="preserve">EC (Etoposide+Carboplatin)</t>
  </si>
  <si>
    <t xml:space="preserve">P</t>
  </si>
  <si>
    <t xml:space="preserve">Carboplatin</t>
  </si>
  <si>
    <t xml:space="preserve">AUC</t>
  </si>
  <si>
    <t xml:space="preserve">AUC 5-6</t>
  </si>
  <si>
    <t xml:space="preserve">1-Atezolizumab</t>
  </si>
  <si>
    <t xml:space="preserve">Atezolizumab + CE</t>
  </si>
  <si>
    <t xml:space="preserve">Atezolizumab</t>
  </si>
  <si>
    <t xml:space="preserve">2</t>
  </si>
  <si>
    <t xml:space="preserve">mg</t>
  </si>
  <si>
    <t xml:space="preserve">고정용량</t>
  </si>
  <si>
    <t xml:space="preserve">1-Topotecan</t>
  </si>
  <si>
    <t xml:space="preserve">Topotecan</t>
  </si>
  <si>
    <t xml:space="preserve">P/S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</si>
  <si>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 이상</t>
    </r>
  </si>
  <si>
    <t xml:space="preserve">D1-5</t>
  </si>
  <si>
    <t xml:space="preserve">2-Pemetrexed+Cis</t>
  </si>
  <si>
    <t xml:space="preserve">비소세포폐암</t>
  </si>
  <si>
    <t xml:space="preserve">Pemetrexed+Cisplatin</t>
  </si>
  <si>
    <t xml:space="preserve">P/A</t>
  </si>
  <si>
    <t xml:space="preserve">Pemetrexed</t>
  </si>
  <si>
    <t xml:space="preserve">비편평</t>
  </si>
  <si>
    <t xml:space="preserve">2-Paclitaxel+Car</t>
  </si>
  <si>
    <t xml:space="preserve">Paclitaxel+Carboplatin</t>
  </si>
  <si>
    <t xml:space="preserve">Paclitaxel</t>
  </si>
  <si>
    <t xml:space="preserve">2-Gemcitabine+Ci</t>
  </si>
  <si>
    <t xml:space="preserve">Gemcitabine+Cisplatin</t>
  </si>
  <si>
    <t xml:space="preserve">Gemcitabine</t>
  </si>
  <si>
    <t xml:space="preserve">D1,8</t>
  </si>
  <si>
    <t xml:space="preserve">2-Docetaxel</t>
  </si>
  <si>
    <t xml:space="preserve">Docetaxel</t>
  </si>
  <si>
    <t xml:space="preserve">2-Pembrolizumab</t>
  </si>
  <si>
    <r>
      <rPr>
        <sz val="9"/>
        <rFont val="Arial"/>
        <family val="0"/>
        <charset val="1"/>
      </rPr>
      <t xml:space="preserve">Pembrolizumab </t>
    </r>
    <r>
      <rPr>
        <sz val="9"/>
        <rFont val="Noto Sans CJK SC"/>
        <family val="2"/>
      </rPr>
      <t xml:space="preserve">단독</t>
    </r>
  </si>
  <si>
    <t xml:space="preserve">Pembrolizumab</t>
  </si>
  <si>
    <r>
      <rPr>
        <sz val="9"/>
        <rFont val="Arial"/>
        <family val="0"/>
        <charset val="1"/>
      </rPr>
      <t xml:space="preserve">PD-L1≥50%; 400mg q6w </t>
    </r>
    <r>
      <rPr>
        <sz val="9"/>
        <rFont val="Noto Sans CJK SC"/>
        <family val="2"/>
      </rPr>
      <t xml:space="preserve">가능</t>
    </r>
  </si>
  <si>
    <t xml:space="preserve">2-Osimertinib</t>
  </si>
  <si>
    <t xml:space="preserve">Osimertinib</t>
  </si>
  <si>
    <t xml:space="preserve">매일</t>
  </si>
  <si>
    <t xml:space="preserve">daily</t>
  </si>
  <si>
    <t xml:space="preserve">연속</t>
  </si>
  <si>
    <t xml:space="preserve">PO</t>
  </si>
  <si>
    <r>
      <rPr>
        <sz val="9"/>
        <rFont val="Arial"/>
        <family val="0"/>
        <charset val="1"/>
      </rPr>
      <t xml:space="preserve">EGFR</t>
    </r>
    <r>
      <rPr>
        <sz val="9"/>
        <rFont val="Noto Sans CJK SC"/>
        <family val="2"/>
      </rPr>
      <t xml:space="preserve">변이</t>
    </r>
  </si>
  <si>
    <t xml:space="preserve">2-Gefitinib</t>
  </si>
  <si>
    <t xml:space="preserve">Gefitinib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</si>
  <si>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이상</t>
    </r>
  </si>
  <si>
    <t xml:space="preserve">2-Alectinib</t>
  </si>
  <si>
    <t xml:space="preserve">Alectinib</t>
  </si>
  <si>
    <t xml:space="preserve">BID</t>
  </si>
  <si>
    <r>
      <rPr>
        <sz val="9"/>
        <rFont val="Arial"/>
        <family val="0"/>
        <charset val="1"/>
      </rPr>
      <t xml:space="preserve">ALK</t>
    </r>
    <r>
      <rPr>
        <sz val="9"/>
        <rFont val="Noto Sans CJK SC"/>
        <family val="2"/>
      </rPr>
      <t xml:space="preserve">양성</t>
    </r>
  </si>
  <si>
    <t xml:space="preserve">3-mFOLFOX6</t>
  </si>
  <si>
    <t xml:space="preserve">위암</t>
  </si>
  <si>
    <t xml:space="preserve">mFOLFOX6</t>
  </si>
  <si>
    <t xml:space="preserve">Oxaliplatin</t>
  </si>
  <si>
    <t xml:space="preserve">q2w</t>
  </si>
  <si>
    <t xml:space="preserve">Leucovorin</t>
  </si>
  <si>
    <t xml:space="preserve">Fluorouracil(bolus)</t>
  </si>
  <si>
    <t xml:space="preserve">Fluorouracil(CI)</t>
  </si>
  <si>
    <t xml:space="preserve">D1-2</t>
  </si>
  <si>
    <r>
      <rPr>
        <sz val="9"/>
        <rFont val="Arial"/>
        <family val="0"/>
        <charset val="1"/>
      </rPr>
      <t xml:space="preserve">46</t>
    </r>
    <r>
      <rPr>
        <sz val="9"/>
        <rFont val="Noto Sans CJK SC"/>
        <family val="2"/>
      </rPr>
      <t xml:space="preserve">시간 지속주입</t>
    </r>
  </si>
  <si>
    <t xml:space="preserve">3-XELOX</t>
  </si>
  <si>
    <t xml:space="preserve">XELOX (CapeOx)</t>
  </si>
  <si>
    <t xml:space="preserve">Capecitabine</t>
  </si>
  <si>
    <t xml:space="preserve">D1-14 BID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</si>
  <si>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일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회</t>
    </r>
  </si>
  <si>
    <t xml:space="preserve">3-Trastuzumab+Ca</t>
  </si>
  <si>
    <t xml:space="preserve">Trastuzumab+CapeOx</t>
  </si>
  <si>
    <t xml:space="preserve">Trastuzumab</t>
  </si>
  <si>
    <t xml:space="preserve">mg/kg</t>
  </si>
  <si>
    <r>
      <rPr>
        <sz val="9"/>
        <rFont val="Arial"/>
        <family val="0"/>
        <charset val="1"/>
      </rPr>
      <t xml:space="preserve">HER2+; </t>
    </r>
    <r>
      <rPr>
        <sz val="9"/>
        <rFont val="Noto Sans CJK SC"/>
        <family val="2"/>
      </rPr>
      <t xml:space="preserve">초회 </t>
    </r>
    <r>
      <rPr>
        <sz val="9"/>
        <rFont val="Arial"/>
        <family val="0"/>
        <charset val="1"/>
      </rPr>
      <t xml:space="preserve">8mg/kg</t>
    </r>
  </si>
  <si>
    <t xml:space="preserve">3-Ramucirumab+Pa</t>
  </si>
  <si>
    <t xml:space="preserve">Ramucirumab+Paclitaxel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</si>
  <si>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</t>
    </r>
  </si>
  <si>
    <t xml:space="preserve">Ramucirumab</t>
  </si>
  <si>
    <t xml:space="preserve">D1,15</t>
  </si>
  <si>
    <t xml:space="preserve">q4w</t>
  </si>
  <si>
    <t xml:space="preserve">D1,8,15</t>
  </si>
  <si>
    <t xml:space="preserve">4-CROSS</t>
  </si>
  <si>
    <t xml:space="preserve">식도암</t>
  </si>
  <si>
    <t xml:space="preserve">CROSS (CRT)</t>
  </si>
  <si>
    <t xml:space="preserve">N</t>
  </si>
  <si>
    <t xml:space="preserve">수술전</t>
  </si>
  <si>
    <t xml:space="preserve">weekly</t>
  </si>
  <si>
    <t xml:space="preserve">방사선 병용</t>
  </si>
  <si>
    <t xml:space="preserve">4-FP</t>
  </si>
  <si>
    <t xml:space="preserve">FP (5-FU+Cisplatin)</t>
  </si>
  <si>
    <t xml:space="preserve">P/N</t>
  </si>
  <si>
    <t xml:space="preserve">Fluorouracil</t>
  </si>
  <si>
    <t xml:space="preserve">D1-4</t>
  </si>
  <si>
    <t xml:space="preserve">지속주입</t>
  </si>
  <si>
    <t xml:space="preserve">5-Lenvatinib</t>
  </si>
  <si>
    <t xml:space="preserve">갑상선암</t>
  </si>
  <si>
    <t xml:space="preserve">Lenvatinib</t>
  </si>
  <si>
    <r>
      <rPr>
        <sz val="9"/>
        <rFont val="Arial"/>
        <family val="0"/>
        <charset val="1"/>
      </rPr>
      <t xml:space="preserve">RAI</t>
    </r>
    <r>
      <rPr>
        <sz val="9"/>
        <rFont val="Noto Sans CJK SC"/>
        <family val="2"/>
      </rPr>
      <t xml:space="preserve">불응 분화암</t>
    </r>
  </si>
  <si>
    <t xml:space="preserve">5-Sorafenib</t>
  </si>
  <si>
    <t xml:space="preserve">Sorafenib</t>
  </si>
  <si>
    <t xml:space="preserve">6-FOLFIRINOX</t>
  </si>
  <si>
    <t xml:space="preserve">췌장암</t>
  </si>
  <si>
    <t xml:space="preserve">FOLFIRINOX</t>
  </si>
  <si>
    <t xml:space="preserve">Irinotecan</t>
  </si>
  <si>
    <r>
      <rPr>
        <sz val="9"/>
        <rFont val="Arial"/>
        <family val="0"/>
        <charset val="1"/>
      </rPr>
      <t xml:space="preserve">46</t>
    </r>
    <r>
      <rPr>
        <sz val="9"/>
        <rFont val="Noto Sans CJK SC"/>
        <family val="2"/>
      </rPr>
      <t xml:space="preserve">시간</t>
    </r>
  </si>
  <si>
    <t xml:space="preserve">6-Gemcitabine+na</t>
  </si>
  <si>
    <t xml:space="preserve">Gemcitabine+nab-Paclitaxel</t>
  </si>
  <si>
    <t xml:space="preserve">nab-Paclitaxel</t>
  </si>
  <si>
    <t xml:space="preserve">6-Gemcitabine</t>
  </si>
  <si>
    <r>
      <rPr>
        <sz val="9"/>
        <rFont val="Arial"/>
        <family val="0"/>
        <charset val="1"/>
      </rPr>
      <t xml:space="preserve">Gemcitabine </t>
    </r>
    <r>
      <rPr>
        <sz val="9"/>
        <rFont val="Noto Sans CJK SC"/>
        <family val="2"/>
      </rPr>
      <t xml:space="preserve">단독</t>
    </r>
  </si>
  <si>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주 후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주 휴약 등</t>
    </r>
  </si>
  <si>
    <t xml:space="preserve">7.1-Atezolizumab+B</t>
  </si>
  <si>
    <t xml:space="preserve">간암</t>
  </si>
  <si>
    <t xml:space="preserve">Atezolizumab+Bevacizumab</t>
  </si>
  <si>
    <t xml:space="preserve">Bevacizumab</t>
  </si>
  <si>
    <t xml:space="preserve">7.1-Sorafenib</t>
  </si>
  <si>
    <t xml:space="preserve">7.1-Lenvatinib</t>
  </si>
  <si>
    <t xml:space="preserve">≥60kg 12mg / &lt;60kg 8mg</t>
  </si>
  <si>
    <t xml:space="preserve">7.1-Regorafenib</t>
  </si>
  <si>
    <t xml:space="preserve">Regorafenib</t>
  </si>
  <si>
    <t xml:space="preserve">D1-21</t>
  </si>
  <si>
    <r>
      <rPr>
        <sz val="9"/>
        <rFont val="Arial"/>
        <family val="0"/>
        <charset val="1"/>
      </rPr>
      <t xml:space="preserve">q4w(3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on/1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off)</t>
    </r>
  </si>
  <si>
    <t xml:space="preserve">7.2-Gemcitabine+Ci</t>
  </si>
  <si>
    <t xml:space="preserve">담도암</t>
  </si>
  <si>
    <t xml:space="preserve">7.2-Durvalumab+Gem</t>
  </si>
  <si>
    <t xml:space="preserve">Durvalumab+GemCis</t>
  </si>
  <si>
    <t xml:space="preserve">Durvalumab</t>
  </si>
  <si>
    <t xml:space="preserve">7.2-Pemigatinib</t>
  </si>
  <si>
    <t xml:space="preserve">Pemigatinib</t>
  </si>
  <si>
    <t xml:space="preserve">D1-14</t>
  </si>
  <si>
    <r>
      <rPr>
        <sz val="9"/>
        <rFont val="Arial"/>
        <family val="0"/>
        <charset val="1"/>
      </rPr>
      <t xml:space="preserve">q3w(2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on/1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off)</t>
    </r>
  </si>
  <si>
    <r>
      <rPr>
        <sz val="9"/>
        <rFont val="Arial"/>
        <family val="0"/>
        <charset val="1"/>
      </rPr>
      <t xml:space="preserve">FGFR2 </t>
    </r>
    <r>
      <rPr>
        <sz val="9"/>
        <rFont val="Noto Sans CJK SC"/>
        <family val="2"/>
      </rPr>
      <t xml:space="preserve">융합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재배열</t>
    </r>
  </si>
  <si>
    <t xml:space="preserve">8-mFOLFOX6</t>
  </si>
  <si>
    <t xml:space="preserve">직결장암</t>
  </si>
  <si>
    <t xml:space="preserve">8-FOLFIRI</t>
  </si>
  <si>
    <t xml:space="preserve">FOLFIRI</t>
  </si>
  <si>
    <t xml:space="preserve">8-Bevacizumab+FO</t>
  </si>
  <si>
    <t xml:space="preserve">Bevacizumab+FOLFOX</t>
  </si>
  <si>
    <t xml:space="preserve">8-Cetuximab+FOLF</t>
  </si>
  <si>
    <t xml:space="preserve">Cetuximab+FOLFIRI</t>
  </si>
  <si>
    <t xml:space="preserve">Cetuximab</t>
  </si>
  <si>
    <r>
      <rPr>
        <sz val="9"/>
        <rFont val="Arial"/>
        <family val="0"/>
        <charset val="1"/>
      </rPr>
      <t xml:space="preserve">RAS WT; </t>
    </r>
    <r>
      <rPr>
        <sz val="9"/>
        <rFont val="Noto Sans CJK SC"/>
        <family val="2"/>
      </rPr>
      <t xml:space="preserve">초회 </t>
    </r>
    <r>
      <rPr>
        <sz val="9"/>
        <rFont val="Arial"/>
        <family val="0"/>
        <charset val="1"/>
      </rPr>
      <t xml:space="preserve">400mg/m²</t>
    </r>
  </si>
  <si>
    <t xml:space="preserve">8-Trifluridine/T</t>
  </si>
  <si>
    <t xml:space="preserve">Trifluridine/Tipiracil (TAS-102)</t>
  </si>
  <si>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차 이상</t>
    </r>
  </si>
  <si>
    <t xml:space="preserve">Trifluridine/Tipiracil</t>
  </si>
  <si>
    <t xml:space="preserve">D1-5,8-12 BID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</si>
  <si>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 최대 </t>
    </r>
    <r>
      <rPr>
        <sz val="9"/>
        <rFont val="Arial"/>
        <family val="0"/>
        <charset val="1"/>
      </rPr>
      <t xml:space="preserve">80mg</t>
    </r>
  </si>
  <si>
    <t xml:space="preserve">9-AC</t>
  </si>
  <si>
    <t xml:space="preserve">유방암</t>
  </si>
  <si>
    <t xml:space="preserve">AC</t>
  </si>
  <si>
    <t xml:space="preserve">N/A</t>
  </si>
  <si>
    <t xml:space="preserve">수술전후</t>
  </si>
  <si>
    <t xml:space="preserve">Doxorubicin</t>
  </si>
  <si>
    <t xml:space="preserve">Cyclophosphamide</t>
  </si>
  <si>
    <t xml:space="preserve">9-Paclitaxel</t>
  </si>
  <si>
    <t xml:space="preserve">Paclitaxel (weekly)</t>
  </si>
  <si>
    <r>
      <rPr>
        <sz val="9"/>
        <rFont val="Arial"/>
        <family val="0"/>
        <charset val="1"/>
      </rPr>
      <t xml:space="preserve">AC </t>
    </r>
    <r>
      <rPr>
        <sz val="9"/>
        <rFont val="Noto Sans CJK SC"/>
        <family val="2"/>
      </rPr>
      <t xml:space="preserve">후 순차</t>
    </r>
  </si>
  <si>
    <t xml:space="preserve">9-Docetaxel+Cycl</t>
  </si>
  <si>
    <t xml:space="preserve">Docetaxel+Cyclophosphamide (TC)</t>
  </si>
  <si>
    <t xml:space="preserve">A</t>
  </si>
  <si>
    <t xml:space="preserve">수술후</t>
  </si>
  <si>
    <t xml:space="preserve">9-THP</t>
  </si>
  <si>
    <t xml:space="preserve">THP (Docetaxel+Trastuzumab+Pertuzumab)</t>
  </si>
  <si>
    <t xml:space="preserve">N/P</t>
  </si>
  <si>
    <t xml:space="preserve">HER2+</t>
  </si>
  <si>
    <r>
      <rPr>
        <sz val="9"/>
        <rFont val="Noto Sans CJK SC"/>
        <family val="2"/>
      </rPr>
      <t xml:space="preserve">초회 </t>
    </r>
    <r>
      <rPr>
        <sz val="9"/>
        <rFont val="Arial"/>
        <family val="0"/>
        <charset val="1"/>
      </rPr>
      <t xml:space="preserve">8mg/kg</t>
    </r>
  </si>
  <si>
    <t xml:space="preserve">Pertuzumab</t>
  </si>
  <si>
    <r>
      <rPr>
        <sz val="9"/>
        <rFont val="Noto Sans CJK SC"/>
        <family val="2"/>
      </rPr>
      <t xml:space="preserve">초회 </t>
    </r>
    <r>
      <rPr>
        <sz val="9"/>
        <rFont val="Arial"/>
        <family val="0"/>
        <charset val="1"/>
      </rPr>
      <t xml:space="preserve">840mg </t>
    </r>
    <r>
      <rPr>
        <sz val="9"/>
        <rFont val="Noto Sans CJK SC"/>
        <family val="2"/>
      </rPr>
      <t xml:space="preserve">고정</t>
    </r>
  </si>
  <si>
    <t xml:space="preserve">9-Palbociclib+AI</t>
  </si>
  <si>
    <t xml:space="preserve">Palbociclib+AI</t>
  </si>
  <si>
    <t xml:space="preserve">HR+/HER2-</t>
  </si>
  <si>
    <t xml:space="preserve">Palbociclib</t>
  </si>
  <si>
    <t xml:space="preserve">Letrozole</t>
  </si>
  <si>
    <t xml:space="preserve">내분비요법 병용</t>
  </si>
  <si>
    <t xml:space="preserve">9-Trastuzumab</t>
  </si>
  <si>
    <t xml:space="preserve">Trastuzumab deruxtecan (T-DXd)</t>
  </si>
  <si>
    <r>
      <rPr>
        <sz val="9"/>
        <rFont val="Arial"/>
        <family val="0"/>
        <charset val="1"/>
      </rPr>
      <t xml:space="preserve">HER2+ 2</t>
    </r>
    <r>
      <rPr>
        <sz val="9"/>
        <rFont val="Noto Sans CJK SC"/>
        <family val="2"/>
      </rPr>
      <t xml:space="preserve">차 이상</t>
    </r>
  </si>
  <si>
    <t xml:space="preserve">Trastuzumab deruxtecan</t>
  </si>
  <si>
    <t xml:space="preserve">9-Capecitabine</t>
  </si>
  <si>
    <r>
      <rPr>
        <sz val="9"/>
        <rFont val="Arial"/>
        <family val="0"/>
        <charset val="1"/>
      </rPr>
      <t xml:space="preserve">Capecitabine </t>
    </r>
    <r>
      <rPr>
        <sz val="9"/>
        <rFont val="Noto Sans CJK SC"/>
        <family val="2"/>
      </rPr>
      <t xml:space="preserve">단독</t>
    </r>
  </si>
  <si>
    <t xml:space="preserve">전이</t>
  </si>
  <si>
    <t xml:space="preserve">9-Eribulin</t>
  </si>
  <si>
    <t xml:space="preserve">Eribulin</t>
  </si>
  <si>
    <r>
      <rPr>
        <sz val="9"/>
        <rFont val="Noto Sans CJK SC"/>
        <family val="2"/>
      </rPr>
      <t xml:space="preserve">전이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 이상</t>
    </r>
  </si>
  <si>
    <t xml:space="preserve">10-Paclitaxel+Car</t>
  </si>
  <si>
    <r>
      <rPr>
        <sz val="9"/>
        <rFont val="Noto Sans CJK SC"/>
        <family val="2"/>
      </rPr>
      <t xml:space="preserve">난소암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난관암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일차복막암</t>
    </r>
  </si>
  <si>
    <t xml:space="preserve">A/P</t>
  </si>
  <si>
    <t xml:space="preserve">10-Olaparib</t>
  </si>
  <si>
    <r>
      <rPr>
        <sz val="9"/>
        <rFont val="Arial"/>
        <family val="0"/>
        <charset val="1"/>
      </rPr>
      <t xml:space="preserve">Olaparib </t>
    </r>
    <r>
      <rPr>
        <sz val="9"/>
        <rFont val="Noto Sans CJK SC"/>
        <family val="2"/>
      </rPr>
      <t xml:space="preserve">유지</t>
    </r>
  </si>
  <si>
    <t xml:space="preserve">유지</t>
  </si>
  <si>
    <r>
      <rPr>
        <sz val="9"/>
        <rFont val="Arial"/>
        <family val="0"/>
        <charset val="1"/>
      </rPr>
      <t xml:space="preserve">BRCA</t>
    </r>
    <r>
      <rPr>
        <sz val="9"/>
        <rFont val="Noto Sans CJK SC"/>
        <family val="2"/>
      </rPr>
      <t xml:space="preserve">변이</t>
    </r>
  </si>
  <si>
    <t xml:space="preserve">Olaparib</t>
  </si>
  <si>
    <t xml:space="preserve">정제</t>
  </si>
  <si>
    <t xml:space="preserve">10-Niraparib</t>
  </si>
  <si>
    <r>
      <rPr>
        <sz val="9"/>
        <rFont val="Arial"/>
        <family val="0"/>
        <charset val="1"/>
      </rPr>
      <t xml:space="preserve">Niraparib </t>
    </r>
    <r>
      <rPr>
        <sz val="9"/>
        <rFont val="Noto Sans CJK SC"/>
        <family val="2"/>
      </rPr>
      <t xml:space="preserve">유지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</si>
  <si>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후</t>
    </r>
  </si>
  <si>
    <t xml:space="preserve">Niraparib</t>
  </si>
  <si>
    <r>
      <rPr>
        <sz val="9"/>
        <rFont val="Noto Sans CJK SC"/>
        <family val="2"/>
      </rPr>
      <t xml:space="preserve">체중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혈소판 따라 </t>
    </r>
    <r>
      <rPr>
        <sz val="9"/>
        <rFont val="Arial"/>
        <family val="0"/>
        <charset val="1"/>
      </rPr>
      <t xml:space="preserve">200-300mg</t>
    </r>
  </si>
  <si>
    <t xml:space="preserve">10-Liposomal</t>
  </si>
  <si>
    <t xml:space="preserve">Liposomal Doxorubicin</t>
  </si>
  <si>
    <t xml:space="preserve">재발</t>
  </si>
  <si>
    <t xml:space="preserve">40-50</t>
  </si>
  <si>
    <t xml:space="preserve">11-Cisplatin</t>
  </si>
  <si>
    <t xml:space="preserve">자궁경부암</t>
  </si>
  <si>
    <t xml:space="preserve">Cisplatin (CCRT)</t>
  </si>
  <si>
    <t xml:space="preserve">-</t>
  </si>
  <si>
    <t xml:space="preserve">동시화학방사선</t>
  </si>
  <si>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최대 </t>
    </r>
    <r>
      <rPr>
        <sz val="9"/>
        <rFont val="Arial"/>
        <family val="0"/>
        <charset val="1"/>
      </rPr>
      <t xml:space="preserve">70mg</t>
    </r>
  </si>
  <si>
    <t xml:space="preserve">11-Paclitaxel+Cis</t>
  </si>
  <si>
    <t xml:space="preserve">Paclitaxel+Cisplatin+Bevacizumab</t>
  </si>
  <si>
    <r>
      <rPr>
        <sz val="9"/>
        <rFont val="Noto Sans CJK SC"/>
        <family val="2"/>
      </rPr>
      <t xml:space="preserve">전이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재발</t>
    </r>
  </si>
  <si>
    <r>
      <rPr>
        <sz val="8"/>
        <color rgb="FF595959"/>
        <rFont val="Arial"/>
        <family val="0"/>
        <charset val="1"/>
      </rPr>
      <t xml:space="preserve">NCCN/</t>
    </r>
    <r>
      <rPr>
        <sz val="8"/>
        <color rgb="FF595959"/>
        <rFont val="Noto Sans CJK SC"/>
        <family val="2"/>
      </rPr>
      <t xml:space="preserve">허가사항</t>
    </r>
  </si>
  <si>
    <t xml:space="preserve">검증필요</t>
  </si>
  <si>
    <t xml:space="preserve">12-Carboplatin+Pa</t>
  </si>
  <si>
    <t xml:space="preserve">자궁암</t>
  </si>
  <si>
    <t xml:space="preserve">Carboplatin+Paclitaxel</t>
  </si>
  <si>
    <t xml:space="preserve">12-Lenvatinib+Pem</t>
  </si>
  <si>
    <t xml:space="preserve">Lenvatinib+Pembrolizumab</t>
  </si>
  <si>
    <t xml:space="preserve">pMMR</t>
  </si>
  <si>
    <t xml:space="preserve">12-Dostarlimab</t>
  </si>
  <si>
    <t xml:space="preserve">Dostarlimab</t>
  </si>
  <si>
    <t xml:space="preserve">dMMR</t>
  </si>
  <si>
    <r>
      <rPr>
        <sz val="9"/>
        <rFont val="Noto Sans CJK SC"/>
        <family val="2"/>
      </rPr>
      <t xml:space="preserve">이후 </t>
    </r>
    <r>
      <rPr>
        <sz val="9"/>
        <rFont val="Arial"/>
        <family val="0"/>
        <charset val="1"/>
      </rPr>
      <t xml:space="preserve">1000mg q6w</t>
    </r>
  </si>
  <si>
    <t xml:space="preserve">13-Sunitinib</t>
  </si>
  <si>
    <t xml:space="preserve">신장암</t>
  </si>
  <si>
    <t xml:space="preserve">Sunitinib</t>
  </si>
  <si>
    <t xml:space="preserve">D1-28</t>
  </si>
  <si>
    <r>
      <rPr>
        <sz val="9"/>
        <rFont val="Arial"/>
        <family val="0"/>
        <charset val="1"/>
      </rPr>
      <t xml:space="preserve">q6w(4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on/2</t>
    </r>
    <r>
      <rPr>
        <sz val="9"/>
        <rFont val="Noto Sans CJK SC"/>
        <family val="2"/>
      </rPr>
      <t xml:space="preserve">주</t>
    </r>
    <r>
      <rPr>
        <sz val="9"/>
        <rFont val="Arial"/>
        <family val="0"/>
        <charset val="1"/>
      </rPr>
      <t xml:space="preserve">off)</t>
    </r>
  </si>
  <si>
    <t xml:space="preserve">13-Pazopanib</t>
  </si>
  <si>
    <t xml:space="preserve">Pazopanib</t>
  </si>
  <si>
    <t xml:space="preserve">13-Pembrolizumab+</t>
  </si>
  <si>
    <t xml:space="preserve">Pembrolizumab+Axitinib</t>
  </si>
  <si>
    <t xml:space="preserve">Axitinib</t>
  </si>
  <si>
    <t xml:space="preserve">13-Cabozantinib</t>
  </si>
  <si>
    <t xml:space="preserve">Cabozantinib</t>
  </si>
  <si>
    <t xml:space="preserve">14-Gemcitabine+Ci</t>
  </si>
  <si>
    <t xml:space="preserve">요로상피암</t>
  </si>
  <si>
    <t xml:space="preserve">Gemcitabine+Cisplatin (GC)</t>
  </si>
  <si>
    <t xml:space="preserve">14-Avelumab</t>
  </si>
  <si>
    <r>
      <rPr>
        <sz val="9"/>
        <rFont val="Arial"/>
        <family val="0"/>
        <charset val="1"/>
      </rPr>
      <t xml:space="preserve">Avelumab </t>
    </r>
    <r>
      <rPr>
        <sz val="9"/>
        <rFont val="Noto Sans CJK SC"/>
        <family val="2"/>
      </rPr>
      <t xml:space="preserve">유지</t>
    </r>
  </si>
  <si>
    <t xml:space="preserve">Avelumab</t>
  </si>
  <si>
    <t xml:space="preserve">14-Pembrolizumab</t>
  </si>
  <si>
    <t xml:space="preserve">15-Docetaxel+Pred</t>
  </si>
  <si>
    <t xml:space="preserve">전립선암</t>
  </si>
  <si>
    <t xml:space="preserve">Docetaxel+Prednisolone</t>
  </si>
  <si>
    <t xml:space="preserve">mCRPC/mHSPC</t>
  </si>
  <si>
    <t xml:space="preserve">Prednisolone</t>
  </si>
  <si>
    <t xml:space="preserve">15-Abiraterone+Pr</t>
  </si>
  <si>
    <t xml:space="preserve">Abiraterone+Prednisolone</t>
  </si>
  <si>
    <t xml:space="preserve">Abiraterone acetate</t>
  </si>
  <si>
    <t xml:space="preserve">15-Enzalutamide</t>
  </si>
  <si>
    <t xml:space="preserve">Enzalutamide</t>
  </si>
  <si>
    <t xml:space="preserve">15-Cabazitaxel+Pr</t>
  </si>
  <si>
    <t xml:space="preserve">Cabazitaxel+Prednisolone</t>
  </si>
  <si>
    <r>
      <rPr>
        <sz val="9"/>
        <rFont val="Arial"/>
        <family val="0"/>
        <charset val="1"/>
      </rPr>
      <t xml:space="preserve">mCRPC 2</t>
    </r>
    <r>
      <rPr>
        <sz val="9"/>
        <rFont val="Noto Sans CJK SC"/>
        <family val="2"/>
      </rPr>
      <t xml:space="preserve">차</t>
    </r>
  </si>
  <si>
    <t xml:space="preserve">Cabazitaxel</t>
  </si>
  <si>
    <r>
      <rPr>
        <sz val="9"/>
        <rFont val="Arial"/>
        <family val="0"/>
        <charset val="1"/>
      </rPr>
      <t xml:space="preserve">20mg/m² </t>
    </r>
    <r>
      <rPr>
        <sz val="9"/>
        <rFont val="Noto Sans CJK SC"/>
        <family val="2"/>
      </rPr>
      <t xml:space="preserve">옵션</t>
    </r>
  </si>
  <si>
    <t xml:space="preserve">16-Cisplatin</t>
  </si>
  <si>
    <t xml:space="preserve">두경부암</t>
  </si>
  <si>
    <t xml:space="preserve">D1,22,43</t>
  </si>
  <si>
    <r>
      <rPr>
        <sz val="9"/>
        <rFont val="Noto Sans CJK SC"/>
        <family val="2"/>
      </rPr>
      <t xml:space="preserve">고용량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주 간격</t>
    </r>
  </si>
  <si>
    <t xml:space="preserve">16-TPF</t>
  </si>
  <si>
    <r>
      <rPr>
        <sz val="9"/>
        <rFont val="Arial"/>
        <family val="0"/>
        <charset val="1"/>
      </rPr>
      <t xml:space="preserve">TPF (</t>
    </r>
    <r>
      <rPr>
        <sz val="9"/>
        <rFont val="Noto Sans CJK SC"/>
        <family val="2"/>
      </rPr>
      <t xml:space="preserve">유도</t>
    </r>
    <r>
      <rPr>
        <sz val="9"/>
        <rFont val="Arial"/>
        <family val="0"/>
        <charset val="1"/>
      </rPr>
      <t xml:space="preserve">)</t>
    </r>
  </si>
  <si>
    <t xml:space="preserve">유도</t>
  </si>
  <si>
    <t xml:space="preserve">16-Pembrolizumab+</t>
  </si>
  <si>
    <t xml:space="preserve">Pembrolizumab+5FU+Cisplatin</t>
  </si>
  <si>
    <r>
      <rPr>
        <sz val="9"/>
        <rFont val="Noto Sans CJK SC"/>
        <family val="2"/>
      </rPr>
      <t xml:space="preserve">전이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재발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</si>
  <si>
    <t xml:space="preserve">17.1-Octreotide</t>
  </si>
  <si>
    <t xml:space="preserve">신경내분비암</t>
  </si>
  <si>
    <t xml:space="preserve">Octreotide LAR</t>
  </si>
  <si>
    <r>
      <rPr>
        <sz val="9"/>
        <rFont val="Arial"/>
        <family val="0"/>
        <charset val="1"/>
      </rPr>
      <t xml:space="preserve">P/</t>
    </r>
    <r>
      <rPr>
        <sz val="9"/>
        <rFont val="Noto Sans CJK SC"/>
        <family val="2"/>
      </rPr>
      <t xml:space="preserve">유지</t>
    </r>
  </si>
  <si>
    <r>
      <rPr>
        <sz val="9"/>
        <rFont val="Noto Sans CJK SC"/>
        <family val="2"/>
      </rPr>
      <t xml:space="preserve">기능성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진행</t>
    </r>
  </si>
  <si>
    <t xml:space="preserve">IM</t>
  </si>
  <si>
    <t xml:space="preserve">17.1-Lanreotide</t>
  </si>
  <si>
    <t xml:space="preserve">Lanreotide</t>
  </si>
  <si>
    <t xml:space="preserve">진행</t>
  </si>
  <si>
    <t xml:space="preserve">Lanreotide acetate</t>
  </si>
  <si>
    <t xml:space="preserve">SC</t>
  </si>
  <si>
    <t xml:space="preserve">17.1-Everolimus</t>
  </si>
  <si>
    <t xml:space="preserve">Everolimus</t>
  </si>
  <si>
    <t xml:space="preserve">17.1-Lu-177</t>
  </si>
  <si>
    <t xml:space="preserve">Lu-177 dotatate</t>
  </si>
  <si>
    <t xml:space="preserve">SSTR+</t>
  </si>
  <si>
    <t xml:space="preserve">Lutetium(177Lu) oxodotreotide</t>
  </si>
  <si>
    <t xml:space="preserve">MBq</t>
  </si>
  <si>
    <t xml:space="preserve">q8w</t>
  </si>
  <si>
    <r>
      <rPr>
        <sz val="9"/>
        <rFont val="Noto Sans CJK SC"/>
        <family val="2"/>
      </rPr>
      <t xml:space="preserve">고정용량 </t>
    </r>
    <r>
      <rPr>
        <sz val="9"/>
        <rFont val="Arial"/>
        <family val="0"/>
        <charset val="1"/>
      </rPr>
      <t xml:space="preserve">200mCi</t>
    </r>
  </si>
  <si>
    <t xml:space="preserve">19-MAP</t>
  </si>
  <si>
    <t xml:space="preserve">골암</t>
  </si>
  <si>
    <r>
      <rPr>
        <sz val="9"/>
        <rFont val="Arial"/>
        <family val="0"/>
        <charset val="1"/>
      </rPr>
      <t xml:space="preserve">MAP (</t>
    </r>
    <r>
      <rPr>
        <sz val="9"/>
        <rFont val="Noto Sans CJK SC"/>
        <family val="2"/>
      </rPr>
      <t xml:space="preserve">골육종</t>
    </r>
    <r>
      <rPr>
        <sz val="9"/>
        <rFont val="Arial"/>
        <family val="0"/>
        <charset val="1"/>
      </rPr>
      <t xml:space="preserve">)</t>
    </r>
  </si>
  <si>
    <t xml:space="preserve">Methotrexate(HD)</t>
  </si>
  <si>
    <t xml:space="preserve">g/m²</t>
  </si>
  <si>
    <r>
      <rPr>
        <sz val="9"/>
        <rFont val="Noto Sans CJK SC"/>
        <family val="2"/>
      </rPr>
      <t xml:space="preserve">고용량</t>
    </r>
    <r>
      <rPr>
        <sz val="9"/>
        <rFont val="Arial"/>
        <family val="0"/>
        <charset val="1"/>
      </rPr>
      <t xml:space="preserve">; leucovorin </t>
    </r>
    <r>
      <rPr>
        <sz val="9"/>
        <rFont val="Noto Sans CJK SC"/>
        <family val="2"/>
      </rPr>
      <t xml:space="preserve">구제</t>
    </r>
  </si>
  <si>
    <t xml:space="preserve">20-Temozolomide</t>
  </si>
  <si>
    <t xml:space="preserve">중추신경계암</t>
  </si>
  <si>
    <t xml:space="preserve">Temozolomide (CCRT)</t>
  </si>
  <si>
    <t xml:space="preserve">Temozolomide</t>
  </si>
  <si>
    <t xml:space="preserve">mg/m²/day</t>
  </si>
  <si>
    <t xml:space="preserve">연일</t>
  </si>
  <si>
    <t xml:space="preserve">방사선기간</t>
  </si>
  <si>
    <r>
      <rPr>
        <sz val="9"/>
        <rFont val="Arial"/>
        <family val="0"/>
        <charset val="1"/>
      </rPr>
      <t xml:space="preserve">Temozolomide (</t>
    </r>
    <r>
      <rPr>
        <sz val="9"/>
        <rFont val="Noto Sans CJK SC"/>
        <family val="2"/>
      </rPr>
      <t xml:space="preserve">유지</t>
    </r>
    <r>
      <rPr>
        <sz val="9"/>
        <rFont val="Arial"/>
        <family val="0"/>
        <charset val="1"/>
      </rPr>
      <t xml:space="preserve">)</t>
    </r>
  </si>
  <si>
    <t xml:space="preserve">보조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</si>
  <si>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주기부터 </t>
    </r>
    <r>
      <rPr>
        <sz val="9"/>
        <rFont val="Arial"/>
        <family val="0"/>
        <charset val="1"/>
      </rPr>
      <t xml:space="preserve">200mg/m²</t>
    </r>
  </si>
  <si>
    <t xml:space="preserve">21-Pembrolizumab</t>
  </si>
  <si>
    <t xml:space="preserve">악성흑색종</t>
  </si>
  <si>
    <t xml:space="preserve">21-Nivolumab+Ipil</t>
  </si>
  <si>
    <t xml:space="preserve">Nivolumab+Ipilimumab</t>
  </si>
  <si>
    <t xml:space="preserve">Nivolumab</t>
  </si>
  <si>
    <r>
      <rPr>
        <sz val="9"/>
        <rFont val="Noto Sans CJK SC"/>
        <family val="2"/>
      </rPr>
      <t xml:space="preserve">유도 후 </t>
    </r>
    <r>
      <rPr>
        <sz val="9"/>
        <rFont val="Arial"/>
        <family val="0"/>
        <charset val="1"/>
      </rPr>
      <t xml:space="preserve">nivo </t>
    </r>
    <r>
      <rPr>
        <sz val="9"/>
        <rFont val="Noto Sans CJK SC"/>
        <family val="2"/>
      </rPr>
      <t xml:space="preserve">단독</t>
    </r>
  </si>
  <si>
    <t xml:space="preserve">Ipilimumab</t>
  </si>
  <si>
    <t xml:space="preserve">21-Dabrafenib+Tra</t>
  </si>
  <si>
    <t xml:space="preserve">Dabrafenib+Trametinib</t>
  </si>
  <si>
    <t xml:space="preserve">BRAF V600</t>
  </si>
  <si>
    <t xml:space="preserve">Dabrafenib</t>
  </si>
  <si>
    <t xml:space="preserve">Trametinib</t>
  </si>
  <si>
    <t xml:space="preserve">22-Doxorubicin</t>
  </si>
  <si>
    <t xml:space="preserve">연조직육종</t>
  </si>
  <si>
    <r>
      <rPr>
        <sz val="9"/>
        <rFont val="Arial"/>
        <family val="0"/>
        <charset val="1"/>
      </rPr>
      <t xml:space="preserve">Doxorubicin </t>
    </r>
    <r>
      <rPr>
        <sz val="9"/>
        <rFont val="Noto Sans CJK SC"/>
        <family val="2"/>
      </rPr>
      <t xml:space="preserve">단독</t>
    </r>
  </si>
  <si>
    <t xml:space="preserve">22-Pazopanib</t>
  </si>
  <si>
    <t xml:space="preserve">비지방성</t>
  </si>
  <si>
    <t xml:space="preserve">24-BEP</t>
  </si>
  <si>
    <t xml:space="preserve">생식세포종양</t>
  </si>
  <si>
    <t xml:space="preserve">BEP</t>
  </si>
  <si>
    <t xml:space="preserve">Bleomycin</t>
  </si>
  <si>
    <t xml:space="preserve">unit</t>
  </si>
  <si>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</si>
  <si>
    <t xml:space="preserve">28-R-CHOP</t>
  </si>
  <si>
    <t xml:space="preserve">비호지킨림프종</t>
  </si>
  <si>
    <t xml:space="preserve">R-CHOP</t>
  </si>
  <si>
    <t xml:space="preserve">Rituximab</t>
  </si>
  <si>
    <t xml:space="preserve">Vincristine</t>
  </si>
  <si>
    <r>
      <rPr>
        <sz val="9"/>
        <rFont val="Noto Sans CJK SC"/>
        <family val="2"/>
      </rPr>
      <t xml:space="preserve">최대 </t>
    </r>
    <r>
      <rPr>
        <sz val="9"/>
        <rFont val="Arial"/>
        <family val="0"/>
        <charset val="1"/>
      </rPr>
      <t xml:space="preserve">2mg</t>
    </r>
  </si>
  <si>
    <t xml:space="preserve">Prednisone</t>
  </si>
  <si>
    <t xml:space="preserve">28-R-Bendamustine</t>
  </si>
  <si>
    <t xml:space="preserve">R-Bendamustine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</si>
  <si>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재발</t>
    </r>
  </si>
  <si>
    <t xml:space="preserve">Bendamustine</t>
  </si>
  <si>
    <t xml:space="preserve">29-ABVD</t>
  </si>
  <si>
    <t xml:space="preserve">호지킨림프종</t>
  </si>
  <si>
    <t xml:space="preserve">ABVD</t>
  </si>
  <si>
    <t xml:space="preserve">Vinblastine</t>
  </si>
  <si>
    <t xml:space="preserve">Dacarbazine</t>
  </si>
  <si>
    <t xml:space="preserve">29-Brentuximab</t>
  </si>
  <si>
    <t xml:space="preserve">Brentuximab vedotin</t>
  </si>
  <si>
    <r>
      <rPr>
        <sz val="9"/>
        <rFont val="Noto Sans CJK SC"/>
        <family val="2"/>
      </rPr>
      <t xml:space="preserve">재발</t>
    </r>
    <r>
      <rPr>
        <sz val="9"/>
        <rFont val="Arial"/>
        <family val="0"/>
        <charset val="1"/>
      </rPr>
      <t xml:space="preserve">/CD30+</t>
    </r>
  </si>
  <si>
    <r>
      <rPr>
        <sz val="9"/>
        <rFont val="Noto Sans CJK SC"/>
        <family val="2"/>
      </rPr>
      <t xml:space="preserve">최대 </t>
    </r>
    <r>
      <rPr>
        <sz val="9"/>
        <rFont val="Arial"/>
        <family val="0"/>
        <charset val="1"/>
      </rPr>
      <t xml:space="preserve">180mg</t>
    </r>
  </si>
  <si>
    <t xml:space="preserve">31-VRd</t>
  </si>
  <si>
    <t xml:space="preserve">다발골수종</t>
  </si>
  <si>
    <t xml:space="preserve">VRd</t>
  </si>
  <si>
    <t xml:space="preserve">Bortezomib</t>
  </si>
  <si>
    <t xml:space="preserve">D1,4,8,11</t>
  </si>
  <si>
    <t xml:space="preserve">Lenalidomide</t>
  </si>
  <si>
    <t xml:space="preserve">Dexamethasone</t>
  </si>
  <si>
    <t xml:space="preserve">D1,2,4,5,8,9,11,12</t>
  </si>
  <si>
    <t xml:space="preserve">31-DRd</t>
  </si>
  <si>
    <t xml:space="preserve">DRd</t>
  </si>
  <si>
    <t xml:space="preserve">Daratumumab</t>
  </si>
  <si>
    <t xml:space="preserve">weekly→</t>
  </si>
  <si>
    <r>
      <rPr>
        <sz val="9"/>
        <rFont val="Arial"/>
        <family val="0"/>
        <charset val="1"/>
      </rPr>
      <t xml:space="preserve">weekly(</t>
    </r>
    <r>
      <rPr>
        <sz val="9"/>
        <rFont val="Noto Sans CJK SC"/>
        <family val="2"/>
      </rPr>
      <t xml:space="preserve">점감</t>
    </r>
    <r>
      <rPr>
        <sz val="9"/>
        <rFont val="Arial"/>
        <family val="0"/>
        <charset val="1"/>
      </rPr>
      <t xml:space="preserve">)</t>
    </r>
  </si>
  <si>
    <t xml:space="preserve">점진적 간격연장</t>
  </si>
  <si>
    <t xml:space="preserve">32-7+3</t>
  </si>
  <si>
    <t xml:space="preserve">급성골수성백혈병</t>
  </si>
  <si>
    <r>
      <rPr>
        <sz val="9"/>
        <rFont val="Arial"/>
        <family val="0"/>
        <charset val="1"/>
      </rPr>
      <t xml:space="preserve">7+3 (</t>
    </r>
    <r>
      <rPr>
        <sz val="9"/>
        <rFont val="Noto Sans CJK SC"/>
        <family val="2"/>
      </rPr>
      <t xml:space="preserve">관해유도</t>
    </r>
    <r>
      <rPr>
        <sz val="9"/>
        <rFont val="Arial"/>
        <family val="0"/>
        <charset val="1"/>
      </rPr>
      <t xml:space="preserve">)</t>
    </r>
  </si>
  <si>
    <t xml:space="preserve">induction</t>
  </si>
  <si>
    <t xml:space="preserve">Cytarabine</t>
  </si>
  <si>
    <t xml:space="preserve">D1-7</t>
  </si>
  <si>
    <r>
      <rPr>
        <sz val="9"/>
        <rFont val="Noto Sans CJK SC"/>
        <family val="2"/>
      </rPr>
      <t xml:space="preserve">지속주입</t>
    </r>
    <r>
      <rPr>
        <sz val="9"/>
        <rFont val="Arial"/>
        <family val="0"/>
        <charset val="1"/>
      </rPr>
      <t xml:space="preserve">; 100-200</t>
    </r>
  </si>
  <si>
    <t xml:space="preserve">Daunorubicin</t>
  </si>
  <si>
    <t xml:space="preserve">60-90</t>
  </si>
  <si>
    <t xml:space="preserve">32-HiDAC</t>
  </si>
  <si>
    <r>
      <rPr>
        <sz val="9"/>
        <rFont val="Arial"/>
        <family val="0"/>
        <charset val="1"/>
      </rPr>
      <t xml:space="preserve">HiDAC (</t>
    </r>
    <r>
      <rPr>
        <sz val="9"/>
        <rFont val="Noto Sans CJK SC"/>
        <family val="2"/>
      </rPr>
      <t xml:space="preserve">관해공고</t>
    </r>
    <r>
      <rPr>
        <sz val="9"/>
        <rFont val="Arial"/>
        <family val="0"/>
        <charset val="1"/>
      </rPr>
      <t xml:space="preserve">)</t>
    </r>
  </si>
  <si>
    <t xml:space="preserve">consolidation</t>
  </si>
  <si>
    <t xml:space="preserve">공고</t>
  </si>
  <si>
    <t xml:space="preserve">D1,3,5 q12h</t>
  </si>
  <si>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시간마다</t>
    </r>
    <r>
      <rPr>
        <sz val="9"/>
        <rFont val="Arial"/>
        <family val="0"/>
        <charset val="1"/>
      </rPr>
      <t xml:space="preserve">; ≤60</t>
    </r>
    <r>
      <rPr>
        <sz val="9"/>
        <rFont val="Noto Sans CJK SC"/>
        <family val="2"/>
      </rPr>
      <t xml:space="preserve">세 </t>
    </r>
    <r>
      <rPr>
        <sz val="9"/>
        <rFont val="Arial"/>
        <family val="0"/>
        <charset val="1"/>
      </rPr>
      <t xml:space="preserve">3g/m²</t>
    </r>
  </si>
  <si>
    <t xml:space="preserve">32-Azacitidine+Ve</t>
  </si>
  <si>
    <t xml:space="preserve">Azacitidine+Venetoclax</t>
  </si>
  <si>
    <r>
      <rPr>
        <sz val="9"/>
        <rFont val="Noto Sans CJK SC"/>
        <family val="2"/>
      </rPr>
      <t xml:space="preserve">비적합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</si>
  <si>
    <t xml:space="preserve">Azacitidine</t>
  </si>
  <si>
    <t xml:space="preserve">SC/IV</t>
  </si>
  <si>
    <t xml:space="preserve">Venetoclax</t>
  </si>
  <si>
    <r>
      <rPr>
        <sz val="9"/>
        <rFont val="Arial"/>
        <family val="0"/>
        <charset val="1"/>
      </rPr>
      <t xml:space="preserve">ramp-up </t>
    </r>
    <r>
      <rPr>
        <sz val="9"/>
        <rFont val="Noto Sans CJK SC"/>
        <family val="2"/>
      </rPr>
      <t xml:space="preserve">후</t>
    </r>
  </si>
  <si>
    <t xml:space="preserve">33-ATRA+ATO</t>
  </si>
  <si>
    <t xml:space="preserve">급성전골수구성백혈병</t>
  </si>
  <si>
    <r>
      <rPr>
        <sz val="9"/>
        <rFont val="Arial"/>
        <family val="0"/>
        <charset val="1"/>
      </rPr>
      <t xml:space="preserve">ATRA+ATO (</t>
    </r>
    <r>
      <rPr>
        <sz val="9"/>
        <rFont val="Noto Sans CJK SC"/>
        <family val="2"/>
      </rPr>
      <t xml:space="preserve">관해유도</t>
    </r>
    <r>
      <rPr>
        <sz val="9"/>
        <rFont val="Arial"/>
        <family val="0"/>
        <charset val="1"/>
      </rPr>
      <t xml:space="preserve">)</t>
    </r>
  </si>
  <si>
    <t xml:space="preserve">Tretinoin(ATRA)</t>
  </si>
  <si>
    <t xml:space="preserve">관해까지</t>
  </si>
  <si>
    <t xml:space="preserve">Arsenic trioxide</t>
  </si>
  <si>
    <t xml:space="preserve">mg/kg/day</t>
  </si>
  <si>
    <t xml:space="preserve">34-Imatinib</t>
  </si>
  <si>
    <t xml:space="preserve">만성골수성백혈병</t>
  </si>
  <si>
    <t xml:space="preserve">Imatinib</t>
  </si>
  <si>
    <t xml:space="preserve">만성기</t>
  </si>
  <si>
    <t xml:space="preserve">34-Dasatinib</t>
  </si>
  <si>
    <t xml:space="preserve">Dasatinib</t>
  </si>
  <si>
    <t xml:space="preserve">34-Nilotinib</t>
  </si>
  <si>
    <t xml:space="preserve">Nilotinib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</si>
  <si>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</t>
    </r>
    <r>
      <rPr>
        <sz val="9"/>
        <rFont val="Arial"/>
        <family val="0"/>
        <charset val="1"/>
      </rPr>
      <t xml:space="preserve">300 / 2</t>
    </r>
    <r>
      <rPr>
        <sz val="9"/>
        <rFont val="Noto Sans CJK SC"/>
        <family val="2"/>
      </rPr>
      <t xml:space="preserve">차 </t>
    </r>
    <r>
      <rPr>
        <sz val="9"/>
        <rFont val="Arial"/>
        <family val="0"/>
        <charset val="1"/>
      </rPr>
      <t xml:space="preserve">400 BID</t>
    </r>
  </si>
  <si>
    <t xml:space="preserve">35-Blinatumomab</t>
  </si>
  <si>
    <t xml:space="preserve">급성림프모구백혈병</t>
  </si>
  <si>
    <t xml:space="preserve">Blinatumomab</t>
  </si>
  <si>
    <r>
      <rPr>
        <sz val="9"/>
        <rFont val="Noto Sans CJK SC"/>
        <family val="2"/>
      </rPr>
      <t xml:space="preserve">재발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불응</t>
    </r>
    <r>
      <rPr>
        <sz val="9"/>
        <rFont val="Arial"/>
        <family val="0"/>
        <charset val="1"/>
      </rPr>
      <t xml:space="preserve">·MRD</t>
    </r>
  </si>
  <si>
    <t xml:space="preserve">mcg</t>
  </si>
  <si>
    <t xml:space="preserve">연속주입</t>
  </si>
  <si>
    <r>
      <rPr>
        <sz val="9"/>
        <rFont val="Arial"/>
        <family val="0"/>
        <charset val="1"/>
      </rPr>
      <t xml:space="preserve">CI 4</t>
    </r>
    <r>
      <rPr>
        <sz val="9"/>
        <rFont val="Noto Sans CJK SC"/>
        <family val="2"/>
      </rPr>
      <t xml:space="preserve">주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</si>
  <si>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주기 </t>
    </r>
    <r>
      <rPr>
        <sz val="9"/>
        <rFont val="Arial"/>
        <family val="0"/>
        <charset val="1"/>
      </rPr>
      <t xml:space="preserve">9mcg </t>
    </r>
    <r>
      <rPr>
        <sz val="9"/>
        <rFont val="Noto Sans CJK SC"/>
        <family val="2"/>
      </rPr>
      <t xml:space="preserve">시작 후 </t>
    </r>
    <r>
      <rPr>
        <sz val="9"/>
        <rFont val="Arial"/>
        <family val="0"/>
        <charset val="1"/>
      </rPr>
      <t xml:space="preserve">28mcg</t>
    </r>
  </si>
  <si>
    <t xml:space="preserve">35-Inotuzumab</t>
  </si>
  <si>
    <t xml:space="preserve">Inotuzumab ozogamicin</t>
  </si>
  <si>
    <r>
      <rPr>
        <sz val="9"/>
        <rFont val="Noto Sans CJK SC"/>
        <family val="2"/>
      </rPr>
      <t xml:space="preserve">재발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불응 </t>
    </r>
    <r>
      <rPr>
        <sz val="9"/>
        <rFont val="Arial"/>
        <family val="0"/>
        <charset val="1"/>
      </rPr>
      <t xml:space="preserve">CD22+</t>
    </r>
  </si>
  <si>
    <r>
      <rPr>
        <sz val="9"/>
        <rFont val="Noto Sans CJK SC"/>
        <family val="2"/>
      </rPr>
      <t xml:space="preserve">분할 </t>
    </r>
    <r>
      <rPr>
        <sz val="9"/>
        <rFont val="Arial"/>
        <family val="0"/>
        <charset val="1"/>
      </rPr>
      <t xml:space="preserve">D1,8,15</t>
    </r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</si>
  <si>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주기 총량 기준</t>
    </r>
  </si>
  <si>
    <t xml:space="preserve">36-FCR</t>
  </si>
  <si>
    <t xml:space="preserve">만성림프구성백혈병</t>
  </si>
  <si>
    <t xml:space="preserve">FCR</t>
  </si>
  <si>
    <t xml:space="preserve">Fludarabine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</si>
  <si>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주기부터 </t>
    </r>
    <r>
      <rPr>
        <sz val="9"/>
        <rFont val="Arial"/>
        <family val="0"/>
        <charset val="1"/>
      </rPr>
      <t xml:space="preserve">500mg/m²</t>
    </r>
  </si>
  <si>
    <t xml:space="preserve">36-Ibrutinib</t>
  </si>
  <si>
    <t xml:space="preserve">Ibrutinib</t>
  </si>
  <si>
    <t xml:space="preserve">36-Venetoclax+Obi</t>
  </si>
  <si>
    <t xml:space="preserve">Venetoclax+Obinutuzumab</t>
  </si>
  <si>
    <t xml:space="preserve">Obinutuzumab</t>
  </si>
  <si>
    <t xml:space="preserve">주기내 분할</t>
  </si>
  <si>
    <t xml:space="preserve">37-Azacitidine</t>
  </si>
  <si>
    <t xml:space="preserve">골수형성이상증후군</t>
  </si>
  <si>
    <t xml:space="preserve">고위험</t>
  </si>
  <si>
    <t xml:space="preserve">37-Lenalidomide</t>
  </si>
  <si>
    <t xml:space="preserve">del(5q)</t>
  </si>
  <si>
    <t xml:space="preserve">5-Doxorubicin</t>
  </si>
  <si>
    <r>
      <rPr>
        <sz val="9"/>
        <rFont val="Arial"/>
        <family val="0"/>
        <charset val="1"/>
      </rPr>
      <t xml:space="preserve">Doxorubicin (</t>
    </r>
    <r>
      <rPr>
        <sz val="9"/>
        <rFont val="Noto Sans CJK SC"/>
        <family val="2"/>
      </rPr>
      <t xml:space="preserve">역형성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진행성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</si>
  <si>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최대 누적 </t>
    </r>
    <r>
      <rPr>
        <sz val="9"/>
        <rFont val="Arial"/>
        <family val="0"/>
        <charset val="1"/>
      </rPr>
      <t xml:space="preserve">550mg/m²</t>
    </r>
  </si>
  <si>
    <t xml:space="preserve">5-Dabrafenib+Tra</t>
  </si>
  <si>
    <r>
      <rPr>
        <sz val="9"/>
        <rFont val="Arial"/>
        <family val="0"/>
        <charset val="1"/>
      </rPr>
      <t xml:space="preserve">BRAF V600E </t>
    </r>
    <r>
      <rPr>
        <sz val="9"/>
        <rFont val="Noto Sans CJK SC"/>
        <family val="2"/>
      </rPr>
      <t xml:space="preserve">역형성</t>
    </r>
  </si>
  <si>
    <t xml:space="preserve">5-Vandetanib</t>
  </si>
  <si>
    <r>
      <rPr>
        <sz val="9"/>
        <rFont val="Arial"/>
        <family val="0"/>
        <charset val="1"/>
      </rPr>
      <t xml:space="preserve">Vandetanib (</t>
    </r>
    <r>
      <rPr>
        <sz val="9"/>
        <rFont val="Noto Sans CJK SC"/>
        <family val="2"/>
      </rPr>
      <t xml:space="preserve">수질암</t>
    </r>
    <r>
      <rPr>
        <sz val="9"/>
        <rFont val="Arial"/>
        <family val="0"/>
        <charset val="1"/>
      </rPr>
      <t xml:space="preserve">)</t>
    </r>
  </si>
  <si>
    <t xml:space="preserve">진행성 수질암</t>
  </si>
  <si>
    <t xml:space="preserve">Vandetanib</t>
  </si>
  <si>
    <t xml:space="preserve">8-CAPEOX</t>
  </si>
  <si>
    <t xml:space="preserve">CAPEOX (XELOX)</t>
  </si>
  <si>
    <t xml:space="preserve">8-Panitumumab+FO</t>
  </si>
  <si>
    <t xml:space="preserve">Panitumumab+FOLFOX</t>
  </si>
  <si>
    <t xml:space="preserve">Panitumumab</t>
  </si>
  <si>
    <t xml:space="preserve">RAS WT</t>
  </si>
  <si>
    <t xml:space="preserve">8-Regorafenib</t>
  </si>
  <si>
    <t xml:space="preserve">8-Pembrolizumab</t>
  </si>
  <si>
    <t xml:space="preserve">Pembrolizumab (MSI-H/dMMR)</t>
  </si>
  <si>
    <r>
      <rPr>
        <sz val="9"/>
        <rFont val="Arial"/>
        <family val="0"/>
        <charset val="1"/>
      </rPr>
      <t xml:space="preserve">MSI-H/dMMR; 400mg q6w </t>
    </r>
    <r>
      <rPr>
        <sz val="9"/>
        <rFont val="Noto Sans CJK SC"/>
        <family val="2"/>
      </rPr>
      <t xml:space="preserve">가능</t>
    </r>
  </si>
  <si>
    <t xml:space="preserve">8-Capecitabine</t>
  </si>
  <si>
    <r>
      <rPr>
        <sz val="9"/>
        <rFont val="Arial"/>
        <family val="0"/>
        <charset val="1"/>
      </rPr>
      <t xml:space="preserve">Capecitabine (</t>
    </r>
    <r>
      <rPr>
        <sz val="9"/>
        <rFont val="Noto Sans CJK SC"/>
        <family val="2"/>
      </rPr>
      <t xml:space="preserve">보조</t>
    </r>
    <r>
      <rPr>
        <sz val="9"/>
        <rFont val="Arial"/>
        <family val="0"/>
        <charset val="1"/>
      </rPr>
      <t xml:space="preserve">)</t>
    </r>
  </si>
  <si>
    <t xml:space="preserve">2-Pembrolizumab+</t>
  </si>
  <si>
    <t xml:space="preserve">Pembrolizumab+Pemetrexed+Carboplatin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</si>
  <si>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비편평</t>
    </r>
    <r>
      <rPr>
        <sz val="9"/>
        <rFont val="Arial"/>
        <family val="0"/>
        <charset val="1"/>
      </rPr>
      <t xml:space="preserve">)</t>
    </r>
  </si>
  <si>
    <t xml:space="preserve">KEYNOTE-189</t>
  </si>
  <si>
    <t xml:space="preserve">Pembrolizumab+Paclitaxel+Carboplatin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</si>
  <si>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편평</t>
    </r>
    <r>
      <rPr>
        <sz val="9"/>
        <rFont val="Arial"/>
        <family val="0"/>
        <charset val="1"/>
      </rPr>
      <t xml:space="preserve">)</t>
    </r>
  </si>
  <si>
    <t xml:space="preserve">KEYNOTE-407</t>
  </si>
  <si>
    <t xml:space="preserve">2-Durvalumab</t>
  </si>
  <si>
    <r>
      <rPr>
        <sz val="9"/>
        <rFont val="Arial"/>
        <family val="0"/>
        <charset val="1"/>
      </rPr>
      <t xml:space="preserve">Durvalumab (CRT </t>
    </r>
    <r>
      <rPr>
        <sz val="9"/>
        <rFont val="Noto Sans CJK SC"/>
        <family val="2"/>
      </rPr>
      <t xml:space="preserve">후 공고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</si>
  <si>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stage III </t>
    </r>
    <r>
      <rPr>
        <sz val="9"/>
        <rFont val="Noto Sans CJK SC"/>
        <family val="2"/>
      </rPr>
      <t xml:space="preserve">공고</t>
    </r>
  </si>
  <si>
    <r>
      <rPr>
        <sz val="9"/>
        <rFont val="Arial"/>
        <family val="0"/>
        <charset val="1"/>
      </rPr>
      <t xml:space="preserve">PACIFIC; 1500mg q4w </t>
    </r>
    <r>
      <rPr>
        <sz val="9"/>
        <rFont val="Noto Sans CJK SC"/>
        <family val="2"/>
      </rPr>
      <t xml:space="preserve">옵션</t>
    </r>
  </si>
  <si>
    <t xml:space="preserve">2-Lazertinib</t>
  </si>
  <si>
    <t xml:space="preserve">Lazertinib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</si>
  <si>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</t>
    </r>
    <r>
      <rPr>
        <sz val="9"/>
        <rFont val="Arial"/>
        <family val="0"/>
        <charset val="1"/>
      </rPr>
      <t xml:space="preserve">EGFR</t>
    </r>
  </si>
  <si>
    <t xml:space="preserve">2-Lorlatinib</t>
  </si>
  <si>
    <t xml:space="preserve">Lorlatinib</t>
  </si>
  <si>
    <t xml:space="preserve">ALK</t>
  </si>
  <si>
    <t xml:space="preserve">9-Ribociclib+AI</t>
  </si>
  <si>
    <t xml:space="preserve">Ribociclib+AI</t>
  </si>
  <si>
    <t xml:space="preserve">Ribociclib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</si>
  <si>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병용</t>
    </r>
  </si>
  <si>
    <t xml:space="preserve">9-Abemaciclib+AI</t>
  </si>
  <si>
    <t xml:space="preserve">Abemaciclib+AI</t>
  </si>
  <si>
    <t xml:space="preserve">Abemaciclib</t>
  </si>
  <si>
    <t xml:space="preserve">Anastrozole</t>
  </si>
  <si>
    <t xml:space="preserve">9-T-DM1</t>
  </si>
  <si>
    <t xml:space="preserve">T-DM1 (trastuzumab emtansine)</t>
  </si>
  <si>
    <t xml:space="preserve">Trastuzumab emtansine</t>
  </si>
  <si>
    <t xml:space="preserve">9-Pembrolizumab+</t>
  </si>
  <si>
    <r>
      <rPr>
        <sz val="9"/>
        <rFont val="Arial"/>
        <family val="0"/>
        <charset val="1"/>
      </rPr>
      <t xml:space="preserve">Pembrolizumab+</t>
    </r>
    <r>
      <rPr>
        <sz val="9"/>
        <rFont val="Noto Sans CJK SC"/>
        <family val="2"/>
      </rPr>
      <t xml:space="preserve">화학 </t>
    </r>
    <r>
      <rPr>
        <sz val="9"/>
        <rFont val="Arial"/>
        <family val="0"/>
        <charset val="1"/>
      </rPr>
      <t xml:space="preserve">(TNBC </t>
    </r>
    <r>
      <rPr>
        <sz val="9"/>
        <rFont val="Noto Sans CJK SC"/>
        <family val="2"/>
      </rPr>
      <t xml:space="preserve">전이</t>
    </r>
    <r>
      <rPr>
        <sz val="9"/>
        <rFont val="Arial"/>
        <family val="0"/>
        <charset val="1"/>
      </rPr>
      <t xml:space="preserve">)</t>
    </r>
  </si>
  <si>
    <t xml:space="preserve">TNBC CPS≥10</t>
  </si>
  <si>
    <t xml:space="preserve">KEYNOTE-355</t>
  </si>
  <si>
    <t xml:space="preserve">or paclitaxel/gem-carbo</t>
  </si>
  <si>
    <r>
      <rPr>
        <sz val="9"/>
        <rFont val="Arial"/>
        <family val="0"/>
        <charset val="1"/>
      </rPr>
      <t xml:space="preserve">Pembrolizumab+</t>
    </r>
    <r>
      <rPr>
        <sz val="9"/>
        <rFont val="Noto Sans CJK SC"/>
        <family val="2"/>
      </rPr>
      <t xml:space="preserve">화학 </t>
    </r>
    <r>
      <rPr>
        <sz val="9"/>
        <rFont val="Arial"/>
        <family val="0"/>
        <charset val="1"/>
      </rPr>
      <t xml:space="preserve">(TNBC </t>
    </r>
    <r>
      <rPr>
        <sz val="9"/>
        <rFont val="Noto Sans CJK SC"/>
        <family val="2"/>
      </rPr>
      <t xml:space="preserve">조기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</si>
  <si>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조기 </t>
    </r>
    <r>
      <rPr>
        <sz val="9"/>
        <rFont val="Arial"/>
        <family val="0"/>
        <charset val="1"/>
      </rPr>
      <t xml:space="preserve">TNBC</t>
    </r>
  </si>
  <si>
    <t xml:space="preserve">KEYNOTE-522 neoadjuvant→adjuvant</t>
  </si>
  <si>
    <t xml:space="preserve">9-Sacituzumab</t>
  </si>
  <si>
    <t xml:space="preserve">Sacituzumab govitecan</t>
  </si>
  <si>
    <r>
      <rPr>
        <sz val="9"/>
        <rFont val="Arial"/>
        <family val="0"/>
        <charset val="1"/>
      </rPr>
      <t xml:space="preserve">TNBC 2</t>
    </r>
    <r>
      <rPr>
        <sz val="9"/>
        <rFont val="Noto Sans CJK SC"/>
        <family val="2"/>
      </rPr>
      <t xml:space="preserve">차 이상</t>
    </r>
  </si>
  <si>
    <r>
      <rPr>
        <sz val="9"/>
        <rFont val="Arial"/>
        <family val="0"/>
        <charset val="1"/>
      </rPr>
      <t xml:space="preserve">3-Nivolumab+</t>
    </r>
    <r>
      <rPr>
        <sz val="9"/>
        <rFont val="Noto Sans CJK SC"/>
        <family val="2"/>
      </rPr>
      <t xml:space="preserve">화학</t>
    </r>
  </si>
  <si>
    <r>
      <rPr>
        <sz val="9"/>
        <rFont val="Arial"/>
        <family val="0"/>
        <charset val="1"/>
      </rPr>
      <t xml:space="preserve">Nivolumab+</t>
    </r>
    <r>
      <rPr>
        <sz val="9"/>
        <rFont val="Noto Sans CJK SC"/>
        <family val="2"/>
      </rPr>
      <t xml:space="preserve">화학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</si>
  <si>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HER2- 1</t>
    </r>
    <r>
      <rPr>
        <sz val="9"/>
        <rFont val="Noto Sans CJK SC"/>
        <family val="2"/>
      </rPr>
      <t xml:space="preserve">차</t>
    </r>
  </si>
  <si>
    <r>
      <rPr>
        <sz val="9"/>
        <rFont val="Arial"/>
        <family val="0"/>
        <charset val="1"/>
      </rPr>
      <t xml:space="preserve">CheckMate-649; 240mg q2w </t>
    </r>
    <r>
      <rPr>
        <sz val="9"/>
        <rFont val="Noto Sans CJK SC"/>
        <family val="2"/>
      </rPr>
      <t xml:space="preserve">옵션</t>
    </r>
  </si>
  <si>
    <t xml:space="preserve">or FOLFOX</t>
  </si>
  <si>
    <t xml:space="preserve">3-Pembrolizumab+</t>
  </si>
  <si>
    <r>
      <rPr>
        <sz val="9"/>
        <rFont val="Arial"/>
        <family val="0"/>
        <charset val="1"/>
      </rPr>
      <t xml:space="preserve">Pembrolizumab+Tras+</t>
    </r>
    <r>
      <rPr>
        <sz val="9"/>
        <rFont val="Noto Sans CJK SC"/>
        <family val="2"/>
      </rPr>
      <t xml:space="preserve">화학 </t>
    </r>
    <r>
      <rPr>
        <sz val="9"/>
        <rFont val="Arial"/>
        <family val="0"/>
        <charset val="1"/>
      </rPr>
      <t xml:space="preserve">(HER2+)</t>
    </r>
  </si>
  <si>
    <r>
      <rPr>
        <sz val="9"/>
        <rFont val="Arial"/>
        <family val="0"/>
        <charset val="1"/>
      </rPr>
      <t xml:space="preserve">HER2+ CPS≥1 1</t>
    </r>
    <r>
      <rPr>
        <sz val="9"/>
        <rFont val="Noto Sans CJK SC"/>
        <family val="2"/>
      </rPr>
      <t xml:space="preserve">차</t>
    </r>
  </si>
  <si>
    <t xml:space="preserve">KEYNOTE-811</t>
  </si>
  <si>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백금</t>
    </r>
  </si>
  <si>
    <t xml:space="preserve">3-Trastuzumab</t>
  </si>
  <si>
    <t xml:space="preserve">3-Ramucirumab</t>
  </si>
  <si>
    <r>
      <rPr>
        <sz val="9"/>
        <rFont val="Arial"/>
        <family val="0"/>
        <charset val="1"/>
      </rPr>
      <t xml:space="preserve">Ramucirumab </t>
    </r>
    <r>
      <rPr>
        <sz val="9"/>
        <rFont val="Noto Sans CJK SC"/>
        <family val="2"/>
      </rPr>
      <t xml:space="preserve">단독</t>
    </r>
  </si>
  <si>
    <t xml:space="preserve">15-Apalutamide</t>
  </si>
  <si>
    <t xml:space="preserve">Apalutamide</t>
  </si>
  <si>
    <t xml:space="preserve">mCSPC/nmCRPC</t>
  </si>
  <si>
    <t xml:space="preserve">+ADT</t>
  </si>
  <si>
    <t xml:space="preserve">15-Darolutamide</t>
  </si>
  <si>
    <t xml:space="preserve">Darolutamide</t>
  </si>
  <si>
    <t xml:space="preserve">nmCRPC/mHSPC</t>
  </si>
  <si>
    <t xml:space="preserve">15-Olaparib</t>
  </si>
  <si>
    <r>
      <rPr>
        <sz val="9"/>
        <rFont val="Arial"/>
        <family val="0"/>
        <charset val="1"/>
      </rPr>
      <t xml:space="preserve">mCRPC HRR</t>
    </r>
    <r>
      <rPr>
        <sz val="9"/>
        <rFont val="Noto Sans CJK SC"/>
        <family val="2"/>
      </rPr>
      <t xml:space="preserve">변이</t>
    </r>
  </si>
  <si>
    <t xml:space="preserve">7.1-Durvalumab+Tre</t>
  </si>
  <si>
    <t xml:space="preserve">Durvalumab+Tremelimumab (STRIDE)</t>
  </si>
  <si>
    <t xml:space="preserve">Tremelimumab</t>
  </si>
  <si>
    <r>
      <rPr>
        <sz val="9"/>
        <rFont val="Arial"/>
        <family val="0"/>
        <charset val="1"/>
      </rPr>
      <t xml:space="preserve">D1 1</t>
    </r>
    <r>
      <rPr>
        <sz val="9"/>
        <rFont val="Noto Sans CJK SC"/>
        <family val="2"/>
      </rPr>
      <t xml:space="preserve">회</t>
    </r>
  </si>
  <si>
    <r>
      <rPr>
        <sz val="9"/>
        <rFont val="Noto Sans CJK SC"/>
        <family val="2"/>
      </rPr>
      <t xml:space="preserve">단회 </t>
    </r>
    <r>
      <rPr>
        <sz val="9"/>
        <rFont val="Arial"/>
        <family val="0"/>
        <charset val="1"/>
      </rPr>
      <t xml:space="preserve">priming</t>
    </r>
  </si>
  <si>
    <t xml:space="preserve">7.1-Cabozantinib</t>
  </si>
  <si>
    <t xml:space="preserve">7.1-Nivolumab</t>
  </si>
  <si>
    <r>
      <rPr>
        <sz val="9"/>
        <rFont val="Arial"/>
        <family val="0"/>
        <charset val="1"/>
      </rPr>
      <t xml:space="preserve">480mg q4w </t>
    </r>
    <r>
      <rPr>
        <sz val="9"/>
        <rFont val="Noto Sans CJK SC"/>
        <family val="2"/>
      </rPr>
      <t xml:space="preserve">옵션</t>
    </r>
  </si>
  <si>
    <t xml:space="preserve">6-nal-IRI+5FU/LV</t>
  </si>
  <si>
    <t xml:space="preserve">nal-IRI+5FU/LV (NAPOLI)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</si>
  <si>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젬시타빈 후</t>
    </r>
    <r>
      <rPr>
        <sz val="9"/>
        <rFont val="Arial"/>
        <family val="0"/>
        <charset val="1"/>
      </rPr>
      <t xml:space="preserve">)</t>
    </r>
  </si>
  <si>
    <t xml:space="preserve">nanoliposomal irinotecan</t>
  </si>
  <si>
    <t xml:space="preserve">6-Olaparib</t>
  </si>
  <si>
    <r>
      <rPr>
        <sz val="9"/>
        <rFont val="Arial"/>
        <family val="0"/>
        <charset val="1"/>
      </rPr>
      <t xml:space="preserve">gBRCA 1</t>
    </r>
    <r>
      <rPr>
        <sz val="9"/>
        <rFont val="Noto Sans CJK SC"/>
        <family val="2"/>
      </rPr>
      <t xml:space="preserve">차후</t>
    </r>
  </si>
  <si>
    <r>
      <rPr>
        <sz val="9"/>
        <rFont val="Arial"/>
        <family val="0"/>
        <charset val="1"/>
      </rPr>
      <t xml:space="preserve">POLO; </t>
    </r>
    <r>
      <rPr>
        <sz val="9"/>
        <rFont val="Noto Sans CJK SC"/>
        <family val="2"/>
      </rPr>
      <t xml:space="preserve">정제</t>
    </r>
  </si>
  <si>
    <t xml:space="preserve">6-Gemcitabine+Ca</t>
  </si>
  <si>
    <t xml:space="preserve">Gemcitabine+Capecitabine</t>
  </si>
  <si>
    <t xml:space="preserve">D1-21 BID</t>
  </si>
  <si>
    <t xml:space="preserve">13-Nivolumab+Ipil</t>
  </si>
  <si>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중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고위험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</si>
  <si>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유도 후 </t>
    </r>
    <r>
      <rPr>
        <sz val="9"/>
        <rFont val="Arial"/>
        <family val="0"/>
        <charset val="1"/>
      </rPr>
      <t xml:space="preserve">nivo </t>
    </r>
    <r>
      <rPr>
        <sz val="9"/>
        <rFont val="Noto Sans CJK SC"/>
        <family val="2"/>
      </rPr>
      <t xml:space="preserve">유지</t>
    </r>
  </si>
  <si>
    <t xml:space="preserve">Pembrolizumab+Lenvatinib</t>
  </si>
  <si>
    <t xml:space="preserve">13-Avelumab+Axiti</t>
  </si>
  <si>
    <t xml:space="preserve">Avelumab+Axitinib</t>
  </si>
  <si>
    <t xml:space="preserve">13-Lenvatinib+Eve</t>
  </si>
  <si>
    <t xml:space="preserve">Lenvatinib+Everolimus</t>
  </si>
  <si>
    <t xml:space="preserve">13-Nivolumab</t>
  </si>
  <si>
    <r>
      <rPr>
        <sz val="9"/>
        <rFont val="Arial"/>
        <family val="0"/>
        <charset val="1"/>
      </rPr>
      <t xml:space="preserve">Nivolumab </t>
    </r>
    <r>
      <rPr>
        <sz val="9"/>
        <rFont val="Noto Sans CJK SC"/>
        <family val="2"/>
      </rPr>
      <t xml:space="preserve">단독</t>
    </r>
  </si>
  <si>
    <t xml:space="preserve">7.2-Pembrolizumab+</t>
  </si>
  <si>
    <t xml:space="preserve">Pembrolizumab+GemCis</t>
  </si>
  <si>
    <t xml:space="preserve">KEYNOTE-966</t>
  </si>
  <si>
    <t xml:space="preserve">7.2-FOLFOX</t>
  </si>
  <si>
    <t xml:space="preserve">FOLFOX</t>
  </si>
  <si>
    <t xml:space="preserve">ABC-06</t>
  </si>
  <si>
    <t xml:space="preserve">7.2-Capecitabine</t>
  </si>
  <si>
    <t xml:space="preserve">BILCAP</t>
  </si>
  <si>
    <t xml:space="preserve">7.2-Pembrolizumab</t>
  </si>
  <si>
    <r>
      <rPr>
        <sz val="9"/>
        <rFont val="Arial"/>
        <family val="0"/>
        <charset val="1"/>
      </rPr>
      <t xml:space="preserve">MSI-H/dMMR </t>
    </r>
    <r>
      <rPr>
        <sz val="9"/>
        <rFont val="Noto Sans CJK SC"/>
        <family val="2"/>
      </rPr>
      <t xml:space="preserve">단독</t>
    </r>
  </si>
  <si>
    <t xml:space="preserve">16-Pembrolizumab</t>
  </si>
  <si>
    <r>
      <rPr>
        <sz val="9"/>
        <rFont val="Arial"/>
        <family val="0"/>
        <charset val="1"/>
      </rPr>
      <t xml:space="preserve">Pembrolizumab </t>
    </r>
    <r>
      <rPr>
        <sz val="9"/>
        <rFont val="Noto Sans CJK SC"/>
        <family val="2"/>
      </rPr>
      <t xml:space="preserve">단독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</si>
  <si>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재발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 </t>
    </r>
    <r>
      <rPr>
        <sz val="9"/>
        <rFont val="Arial"/>
        <family val="0"/>
        <charset val="1"/>
      </rPr>
      <t xml:space="preserve">CPS≥1</t>
    </r>
  </si>
  <si>
    <t xml:space="preserve">KEYNOTE-048</t>
  </si>
  <si>
    <t xml:space="preserve">4-Pembrolizumab+</t>
  </si>
  <si>
    <r>
      <rPr>
        <sz val="9"/>
        <rFont val="Arial"/>
        <family val="0"/>
        <charset val="1"/>
      </rPr>
      <t xml:space="preserve">Pembrolizumab+</t>
    </r>
    <r>
      <rPr>
        <sz val="9"/>
        <rFont val="Noto Sans CJK SC"/>
        <family val="2"/>
      </rPr>
      <t xml:space="preserve">화학 </t>
    </r>
    <r>
      <rPr>
        <sz val="9"/>
        <rFont val="Arial"/>
        <family val="0"/>
        <charset val="1"/>
      </rPr>
      <t xml:space="preserve">(1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</si>
  <si>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CPS≥10 1</t>
    </r>
    <r>
      <rPr>
        <sz val="9"/>
        <rFont val="Noto Sans CJK SC"/>
        <family val="2"/>
      </rPr>
      <t xml:space="preserve">차</t>
    </r>
  </si>
  <si>
    <r>
      <rPr>
        <sz val="9"/>
        <rFont val="Arial"/>
        <family val="0"/>
        <charset val="1"/>
      </rPr>
      <t xml:space="preserve">KEYNOTE-590; +</t>
    </r>
    <r>
      <rPr>
        <sz val="9"/>
        <rFont val="Noto Sans CJK SC"/>
        <family val="2"/>
      </rPr>
      <t xml:space="preserve">백금</t>
    </r>
    <r>
      <rPr>
        <sz val="9"/>
        <rFont val="Arial"/>
        <family val="0"/>
        <charset val="1"/>
      </rPr>
      <t xml:space="preserve">/5FU</t>
    </r>
  </si>
  <si>
    <t xml:space="preserve">11-Pembrolizumab+</t>
  </si>
  <si>
    <r>
      <rPr>
        <sz val="9"/>
        <rFont val="Arial"/>
        <family val="0"/>
        <charset val="1"/>
      </rPr>
      <t xml:space="preserve">Pembrolizumab+</t>
    </r>
    <r>
      <rPr>
        <sz val="9"/>
        <rFont val="Noto Sans CJK SC"/>
        <family val="2"/>
      </rPr>
      <t xml:space="preserve">화학</t>
    </r>
    <r>
      <rPr>
        <sz val="9"/>
        <rFont val="Arial"/>
        <family val="0"/>
        <charset val="1"/>
      </rPr>
      <t xml:space="preserve">±Bev</t>
    </r>
  </si>
  <si>
    <t xml:space="preserve">CPS≥1</t>
  </si>
  <si>
    <t xml:space="preserve">KEYNOTE-826</t>
  </si>
  <si>
    <t xml:space="preserve">12-Pembrolizumab+</t>
  </si>
  <si>
    <t xml:space="preserve">Pembrolizumab+Lenvatinib (pMMR)</t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</si>
  <si>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 </t>
    </r>
    <r>
      <rPr>
        <sz val="9"/>
        <rFont val="Arial"/>
        <family val="0"/>
        <charset val="1"/>
      </rPr>
      <t xml:space="preserve">pMMR</t>
    </r>
  </si>
  <si>
    <t xml:space="preserve">KEYNOTE-775</t>
  </si>
  <si>
    <r>
      <rPr>
        <b val="true"/>
        <sz val="13"/>
        <color rgb="FF1F4E78"/>
        <rFont val="Arial"/>
        <family val="0"/>
        <charset val="1"/>
      </rPr>
      <t xml:space="preserve">HIRA </t>
    </r>
    <r>
      <rPr>
        <b val="true"/>
        <sz val="13"/>
        <color rgb="FF1F4E78"/>
        <rFont val="Noto Sans CJK SC"/>
        <family val="2"/>
      </rPr>
      <t xml:space="preserve">공고 </t>
    </r>
    <r>
      <rPr>
        <b val="true"/>
        <sz val="13"/>
        <color rgb="FF1F4E78"/>
        <rFont val="Arial"/>
        <family val="0"/>
        <charset val="1"/>
      </rPr>
      <t xml:space="preserve">'</t>
    </r>
    <r>
      <rPr>
        <b val="true"/>
        <sz val="13"/>
        <color rgb="FF1F4E78"/>
        <rFont val="Noto Sans CJK SC"/>
        <family val="2"/>
      </rPr>
      <t xml:space="preserve">주요 암종별 항암요법</t>
    </r>
    <r>
      <rPr>
        <b val="true"/>
        <sz val="13"/>
        <color rgb="FF1F4E78"/>
        <rFont val="Arial"/>
        <family val="0"/>
        <charset val="1"/>
      </rPr>
      <t xml:space="preserve">' </t>
    </r>
    <r>
      <rPr>
        <b val="true"/>
        <sz val="13"/>
        <color rgb="FF1F4E78"/>
        <rFont val="Noto Sans CJK SC"/>
        <family val="2"/>
      </rPr>
      <t xml:space="preserve">분류 </t>
    </r>
    <r>
      <rPr>
        <b val="true"/>
        <sz val="13"/>
        <color rgb="FF1F4E78"/>
        <rFont val="Arial"/>
        <family val="0"/>
        <charset val="1"/>
      </rPr>
      <t xml:space="preserve">(</t>
    </r>
    <r>
      <rPr>
        <b val="true"/>
        <sz val="13"/>
        <color rgb="FF1F4E78"/>
        <rFont val="Noto Sans CJK SC"/>
        <family val="2"/>
      </rPr>
      <t xml:space="preserve">공고 제</t>
    </r>
    <r>
      <rPr>
        <b val="true"/>
        <sz val="13"/>
        <color rgb="FF1F4E78"/>
        <rFont val="Arial"/>
        <family val="0"/>
        <charset val="1"/>
      </rPr>
      <t xml:space="preserve">2025-210</t>
    </r>
    <r>
      <rPr>
        <b val="true"/>
        <sz val="13"/>
        <color rgb="FF1F4E78"/>
        <rFont val="Noto Sans CJK SC"/>
        <family val="2"/>
      </rPr>
      <t xml:space="preserve">호 목차 기준</t>
    </r>
    <r>
      <rPr>
        <b val="true"/>
        <sz val="13"/>
        <color rgb="FF1F4E78"/>
        <rFont val="Arial"/>
        <family val="0"/>
        <charset val="1"/>
      </rPr>
      <t xml:space="preserve">)</t>
    </r>
  </si>
  <si>
    <t xml:space="preserve">암종명</t>
  </si>
  <si>
    <r>
      <rPr>
        <b val="true"/>
        <sz val="10"/>
        <color rgb="FFFFFFFF"/>
        <rFont val="Arial"/>
        <family val="0"/>
        <charset val="1"/>
      </rPr>
      <t xml:space="preserve">DB</t>
    </r>
    <r>
      <rPr>
        <b val="true"/>
        <sz val="10"/>
        <color rgb="FFFFFFFF"/>
        <rFont val="Noto Sans CJK SC"/>
        <family val="2"/>
      </rPr>
      <t xml:space="preserve">수록</t>
    </r>
  </si>
  <si>
    <t xml:space="preserve">○</t>
  </si>
  <si>
    <t xml:space="preserve">3</t>
  </si>
  <si>
    <t xml:space="preserve">4</t>
  </si>
  <si>
    <t xml:space="preserve">5</t>
  </si>
  <si>
    <t xml:space="preserve">6</t>
  </si>
  <si>
    <t xml:space="preserve">7-1</t>
  </si>
  <si>
    <t xml:space="preserve">7-2</t>
  </si>
  <si>
    <t xml:space="preserve">8</t>
  </si>
  <si>
    <t xml:space="preserve">9</t>
  </si>
  <si>
    <t xml:space="preserve">10</t>
  </si>
  <si>
    <r>
      <rPr>
        <sz val="10"/>
        <rFont val="Noto Sans CJK SC"/>
        <family val="2"/>
      </rPr>
      <t xml:space="preserve">난소암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난관암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일차복막암</t>
    </r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</si>
  <si>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</si>
  <si>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</si>
  <si>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</si>
  <si>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</si>
  <si>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</si>
  <si>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</si>
  <si>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17-1</t>
  </si>
  <si>
    <t xml:space="preserve">–</t>
  </si>
  <si>
    <t xml:space="preserve">17-2</t>
  </si>
  <si>
    <t xml:space="preserve">메르켈세포암</t>
  </si>
  <si>
    <t xml:space="preserve">18</t>
  </si>
  <si>
    <t xml:space="preserve">피부암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</si>
  <si>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</si>
  <si>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</si>
  <si>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</si>
  <si>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</si>
  <si>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</si>
  <si>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횡문근육종</t>
  </si>
  <si>
    <t xml:space="preserve">24</t>
  </si>
  <si>
    <t xml:space="preserve">25</t>
  </si>
  <si>
    <t xml:space="preserve">신경모세포종</t>
  </si>
  <si>
    <t xml:space="preserve">26</t>
  </si>
  <si>
    <t xml:space="preserve">윌름즈종양</t>
  </si>
  <si>
    <t xml:space="preserve">27</t>
  </si>
  <si>
    <t xml:space="preserve">망막모세포종</t>
  </si>
  <si>
    <t xml:space="preserve">28</t>
  </si>
  <si>
    <t xml:space="preserve">29</t>
  </si>
  <si>
    <t xml:space="preserve">30</t>
  </si>
  <si>
    <t xml:space="preserve">조직구증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</si>
  <si>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</si>
  <si>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</si>
  <si>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</si>
  <si>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</si>
  <si>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</si>
  <si>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</si>
  <si>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</si>
  <si>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</si>
  <si>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조혈모세포이식 전처치요법</t>
  </si>
  <si>
    <t xml:space="preserve">39</t>
  </si>
  <si>
    <t xml:space="preserve">기타 암</t>
  </si>
  <si>
    <t xml:space="preserve">40</t>
  </si>
  <si>
    <r>
      <rPr>
        <sz val="10"/>
        <rFont val="Noto Sans CJK SC"/>
        <family val="2"/>
      </rPr>
      <t xml:space="preserve">기타 항암제 병용요법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항암요법 본인일부부담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</si>
  <si>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○=v1 </t>
    </r>
    <r>
      <rPr>
        <i val="true"/>
        <sz val="9"/>
        <color rgb="FF595959"/>
        <rFont val="Noto Sans CJK SC"/>
        <family val="2"/>
      </rPr>
      <t xml:space="preserve">수록 </t>
    </r>
    <r>
      <rPr>
        <i val="true"/>
        <sz val="9"/>
        <color rgb="FF595959"/>
        <rFont val="Arial"/>
        <family val="0"/>
        <charset val="1"/>
      </rPr>
      <t xml:space="preserve">/ –=</t>
    </r>
    <r>
      <rPr>
        <i val="true"/>
        <sz val="9"/>
        <color rgb="FF595959"/>
        <rFont val="Noto Sans CJK SC"/>
        <family val="2"/>
      </rPr>
      <t xml:space="preserve">차기 확장 대상</t>
    </r>
  </si>
  <si>
    <r>
      <rPr>
        <b val="true"/>
        <sz val="13"/>
        <color rgb="FF1F4E78"/>
        <rFont val="Arial"/>
        <family val="0"/>
        <charset val="1"/>
      </rPr>
      <t xml:space="preserve">2</t>
    </r>
    <r>
      <rPr>
        <b val="true"/>
        <sz val="13"/>
        <color rgb="FF1F4E78"/>
        <rFont val="Noto Sans CJK SC"/>
        <family val="2"/>
      </rPr>
      <t xml:space="preserve">군 항암제 색인 </t>
    </r>
    <r>
      <rPr>
        <b val="true"/>
        <sz val="13"/>
        <color rgb="FF1F4E78"/>
        <rFont val="Arial"/>
        <family val="0"/>
        <charset val="1"/>
      </rPr>
      <t xml:space="preserve">(</t>
    </r>
    <r>
      <rPr>
        <b val="true"/>
        <sz val="13"/>
        <color rgb="FF1F4E78"/>
        <rFont val="Noto Sans CJK SC"/>
        <family val="2"/>
      </rPr>
      <t xml:space="preserve">암질환심의위원회 지정</t>
    </r>
    <r>
      <rPr>
        <b val="true"/>
        <sz val="13"/>
        <color rgb="FF1F4E78"/>
        <rFont val="Arial"/>
        <family val="0"/>
        <charset val="1"/>
      </rPr>
      <t xml:space="preserve">) — </t>
    </r>
    <r>
      <rPr>
        <b val="true"/>
        <sz val="13"/>
        <color rgb="FF1F4E78"/>
        <rFont val="Noto Sans CJK SC"/>
        <family val="2"/>
      </rPr>
      <t xml:space="preserve">일반원칙 발췌</t>
    </r>
  </si>
  <si>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군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투여대상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투여단계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투여요법이 공고에 명시된 약제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미수록 성분은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군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허가범위 내 의학적 판단 사용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</si>
  <si>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성분명</t>
  </si>
  <si>
    <t xml:space="preserve">관련 공고</t>
  </si>
  <si>
    <t xml:space="preserve">abemaciclib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</si>
  <si>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2020-155</t>
    </r>
    <r>
      <rPr>
        <sz val="9"/>
        <color rgb="FF595959"/>
        <rFont val="Noto Sans CJK SC"/>
        <family val="2"/>
      </rPr>
      <t xml:space="preserve">호</t>
    </r>
  </si>
  <si>
    <t xml:space="preserve">abiraterone acetate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</si>
  <si>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2018-103</t>
    </r>
    <r>
      <rPr>
        <sz val="9"/>
        <color rgb="FF595959"/>
        <rFont val="Noto Sans CJK SC"/>
        <family val="2"/>
      </rPr>
      <t xml:space="preserve">호</t>
    </r>
  </si>
  <si>
    <t xml:space="preserve">afatinib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</si>
  <si>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2014-187</t>
    </r>
    <r>
      <rPr>
        <sz val="9"/>
        <color rgb="FF595959"/>
        <rFont val="Noto Sans CJK SC"/>
        <family val="2"/>
      </rPr>
      <t xml:space="preserve">호</t>
    </r>
  </si>
  <si>
    <t xml:space="preserve">alectinib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</si>
  <si>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2017-213</t>
    </r>
    <r>
      <rPr>
        <sz val="9"/>
        <color rgb="FF595959"/>
        <rFont val="Noto Sans CJK SC"/>
        <family val="2"/>
      </rPr>
      <t xml:space="preserve">호</t>
    </r>
  </si>
  <si>
    <t xml:space="preserve">apalutamide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</si>
  <si>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2023-84</t>
    </r>
    <r>
      <rPr>
        <sz val="9"/>
        <color rgb="FF595959"/>
        <rFont val="Noto Sans CJK SC"/>
        <family val="2"/>
      </rPr>
      <t xml:space="preserve">호</t>
    </r>
  </si>
  <si>
    <t xml:space="preserve">atezolizumab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</si>
  <si>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2018-10</t>
    </r>
    <r>
      <rPr>
        <sz val="9"/>
        <color rgb="FF595959"/>
        <rFont val="Noto Sans CJK SC"/>
        <family val="2"/>
      </rPr>
      <t xml:space="preserve">호</t>
    </r>
  </si>
  <si>
    <t xml:space="preserve">avelumab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</si>
  <si>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2020-255</t>
    </r>
    <r>
      <rPr>
        <sz val="9"/>
        <color rgb="FF595959"/>
        <rFont val="Noto Sans CJK SC"/>
        <family val="2"/>
      </rPr>
      <t xml:space="preserve">호</t>
    </r>
  </si>
  <si>
    <t xml:space="preserve">axitinib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</si>
  <si>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2018-162</t>
    </r>
    <r>
      <rPr>
        <sz val="9"/>
        <color rgb="FF595959"/>
        <rFont val="Noto Sans CJK SC"/>
        <family val="2"/>
      </rPr>
      <t xml:space="preserve">호</t>
    </r>
  </si>
  <si>
    <t xml:space="preserve">bendamustine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</si>
  <si>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2018-210</t>
    </r>
    <r>
      <rPr>
        <sz val="9"/>
        <color rgb="FF595959"/>
        <rFont val="Noto Sans CJK SC"/>
        <family val="2"/>
      </rPr>
      <t xml:space="preserve">호</t>
    </r>
  </si>
  <si>
    <t xml:space="preserve">bevacizumab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</si>
  <si>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2014-15</t>
    </r>
    <r>
      <rPr>
        <sz val="9"/>
        <color rgb="FF595959"/>
        <rFont val="Noto Sans CJK SC"/>
        <family val="2"/>
      </rPr>
      <t xml:space="preserve">호</t>
    </r>
  </si>
  <si>
    <t xml:space="preserve">blinatumomab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</si>
  <si>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2016-259</t>
    </r>
    <r>
      <rPr>
        <sz val="9"/>
        <color rgb="FF595959"/>
        <rFont val="Noto Sans CJK SC"/>
        <family val="2"/>
      </rPr>
      <t xml:space="preserve">호</t>
    </r>
  </si>
  <si>
    <t xml:space="preserve">bortezomib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</si>
  <si>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2007-1</t>
    </r>
    <r>
      <rPr>
        <sz val="9"/>
        <color rgb="FF595959"/>
        <rFont val="Noto Sans CJK SC"/>
        <family val="2"/>
      </rPr>
      <t xml:space="preserve">호</t>
    </r>
  </si>
  <si>
    <t xml:space="preserve">brentuximab vedotin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</si>
  <si>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2016-22</t>
    </r>
    <r>
      <rPr>
        <sz val="9"/>
        <color rgb="FF595959"/>
        <rFont val="Noto Sans CJK SC"/>
        <family val="2"/>
      </rPr>
      <t xml:space="preserve">호</t>
    </r>
  </si>
  <si>
    <t xml:space="preserve">cabazitaxel</t>
  </si>
  <si>
    <t xml:space="preserve">cabozantinib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</si>
  <si>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2019-22</t>
    </r>
    <r>
      <rPr>
        <sz val="9"/>
        <color rgb="FF595959"/>
        <rFont val="Noto Sans CJK SC"/>
        <family val="2"/>
      </rPr>
      <t xml:space="preserve">호</t>
    </r>
  </si>
  <si>
    <t xml:space="preserve">carfilzomib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</si>
  <si>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2018-23</t>
    </r>
    <r>
      <rPr>
        <sz val="9"/>
        <color rgb="FF595959"/>
        <rFont val="Noto Sans CJK SC"/>
        <family val="2"/>
      </rPr>
      <t xml:space="preserve">호</t>
    </r>
  </si>
  <si>
    <t xml:space="preserve">cetuximab</t>
  </si>
  <si>
    <t xml:space="preserve">crizotinib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</si>
  <si>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2015-77</t>
    </r>
    <r>
      <rPr>
        <sz val="9"/>
        <color rgb="FF595959"/>
        <rFont val="Noto Sans CJK SC"/>
        <family val="2"/>
      </rPr>
      <t xml:space="preserve">호</t>
    </r>
  </si>
  <si>
    <t xml:space="preserve">dabrafenib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</si>
  <si>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2017-194</t>
    </r>
    <r>
      <rPr>
        <sz val="9"/>
        <color rgb="FF595959"/>
        <rFont val="Noto Sans CJK SC"/>
        <family val="2"/>
      </rPr>
      <t xml:space="preserve">호</t>
    </r>
  </si>
  <si>
    <t xml:space="preserve">daratumumab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</si>
  <si>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2019-106</t>
    </r>
    <r>
      <rPr>
        <sz val="9"/>
        <color rgb="FF595959"/>
        <rFont val="Noto Sans CJK SC"/>
        <family val="2"/>
      </rPr>
      <t xml:space="preserve">호</t>
    </r>
  </si>
  <si>
    <t xml:space="preserve">dasatinib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</si>
  <si>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2008-4</t>
    </r>
    <r>
      <rPr>
        <sz val="9"/>
        <color rgb="FF595959"/>
        <rFont val="Noto Sans CJK SC"/>
        <family val="2"/>
      </rPr>
      <t xml:space="preserve">호</t>
    </r>
  </si>
  <si>
    <t xml:space="preserve">denosumab</t>
  </si>
  <si>
    <t xml:space="preserve">dostarlimab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</si>
  <si>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2023-279</t>
    </r>
    <r>
      <rPr>
        <sz val="9"/>
        <color rgb="FF595959"/>
        <rFont val="Noto Sans CJK SC"/>
        <family val="2"/>
      </rPr>
      <t xml:space="preserve">호</t>
    </r>
  </si>
  <si>
    <t xml:space="preserve">durvalumab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</si>
  <si>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2020-81</t>
    </r>
    <r>
      <rPr>
        <sz val="9"/>
        <color rgb="FF595959"/>
        <rFont val="Noto Sans CJK SC"/>
        <family val="2"/>
      </rPr>
      <t xml:space="preserve">호</t>
    </r>
  </si>
  <si>
    <t xml:space="preserve">enzalutamide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</si>
  <si>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2014-211</t>
    </r>
    <r>
      <rPr>
        <sz val="9"/>
        <color rgb="FF595959"/>
        <rFont val="Noto Sans CJK SC"/>
        <family val="2"/>
      </rPr>
      <t xml:space="preserve">호</t>
    </r>
  </si>
  <si>
    <t xml:space="preserve">eribulin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</si>
  <si>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2014-96</t>
    </r>
    <r>
      <rPr>
        <sz val="9"/>
        <color rgb="FF595959"/>
        <rFont val="Noto Sans CJK SC"/>
        <family val="2"/>
      </rPr>
      <t xml:space="preserve">호</t>
    </r>
  </si>
  <si>
    <t xml:space="preserve">everolimus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</si>
  <si>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2011-90</t>
    </r>
    <r>
      <rPr>
        <sz val="9"/>
        <color rgb="FF595959"/>
        <rFont val="Noto Sans CJK SC"/>
        <family val="2"/>
      </rPr>
      <t xml:space="preserve">호</t>
    </r>
  </si>
  <si>
    <t xml:space="preserve">ibrutinib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</si>
  <si>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2016-160</t>
    </r>
    <r>
      <rPr>
        <sz val="9"/>
        <color rgb="FF595959"/>
        <rFont val="Noto Sans CJK SC"/>
        <family val="2"/>
      </rPr>
      <t xml:space="preserve">호</t>
    </r>
  </si>
  <si>
    <t xml:space="preserve">imatinib</t>
  </si>
  <si>
    <t xml:space="preserve">inotuzumab ozogamicin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</si>
  <si>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2019-279</t>
    </r>
    <r>
      <rPr>
        <sz val="9"/>
        <color rgb="FF595959"/>
        <rFont val="Noto Sans CJK SC"/>
        <family val="2"/>
      </rPr>
      <t xml:space="preserve">호</t>
    </r>
  </si>
  <si>
    <t xml:space="preserve">ipilimumab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</si>
  <si>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2021-220</t>
    </r>
    <r>
      <rPr>
        <sz val="9"/>
        <color rgb="FF595959"/>
        <rFont val="Noto Sans CJK SC"/>
        <family val="2"/>
      </rPr>
      <t xml:space="preserve">호</t>
    </r>
  </si>
  <si>
    <t xml:space="preserve">lanreotide acetate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</si>
  <si>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2016-82</t>
    </r>
    <r>
      <rPr>
        <sz val="9"/>
        <color rgb="FF595959"/>
        <rFont val="Noto Sans CJK SC"/>
        <family val="2"/>
      </rPr>
      <t xml:space="preserve">호</t>
    </r>
  </si>
  <si>
    <t xml:space="preserve">lapatinib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</si>
  <si>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2010-5</t>
    </r>
    <r>
      <rPr>
        <sz val="9"/>
        <color rgb="FF595959"/>
        <rFont val="Noto Sans CJK SC"/>
        <family val="2"/>
      </rPr>
      <t xml:space="preserve">호</t>
    </r>
  </si>
  <si>
    <t xml:space="preserve">lenalidomide</t>
  </si>
  <si>
    <t xml:space="preserve">lenvatinib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</si>
  <si>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2017-187</t>
    </r>
    <r>
      <rPr>
        <sz val="9"/>
        <color rgb="FF595959"/>
        <rFont val="Noto Sans CJK SC"/>
        <family val="2"/>
      </rPr>
      <t xml:space="preserve">호</t>
    </r>
  </si>
  <si>
    <t xml:space="preserve">lorlatinib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</si>
  <si>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2022-206</t>
    </r>
    <r>
      <rPr>
        <sz val="9"/>
        <color rgb="FF595959"/>
        <rFont val="Noto Sans CJK SC"/>
        <family val="2"/>
      </rPr>
      <t xml:space="preserve">호</t>
    </r>
  </si>
  <si>
    <t xml:space="preserve">nilotinib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</si>
  <si>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2011-106</t>
    </r>
    <r>
      <rPr>
        <sz val="9"/>
        <color rgb="FF595959"/>
        <rFont val="Noto Sans CJK SC"/>
        <family val="2"/>
      </rPr>
      <t xml:space="preserve">호</t>
    </r>
  </si>
  <si>
    <t xml:space="preserve">niraparib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</si>
  <si>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2019-331</t>
    </r>
    <r>
      <rPr>
        <sz val="9"/>
        <color rgb="FF595959"/>
        <rFont val="Noto Sans CJK SC"/>
        <family val="2"/>
      </rPr>
      <t xml:space="preserve">호</t>
    </r>
  </si>
  <si>
    <t xml:space="preserve">nivolumab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</si>
  <si>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2017-184</t>
    </r>
    <r>
      <rPr>
        <sz val="9"/>
        <color rgb="FF595959"/>
        <rFont val="Noto Sans CJK SC"/>
        <family val="2"/>
      </rPr>
      <t xml:space="preserve">호</t>
    </r>
  </si>
  <si>
    <t xml:space="preserve">obinutuzumab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</si>
  <si>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2017-75</t>
    </r>
    <r>
      <rPr>
        <sz val="9"/>
        <color rgb="FF595959"/>
        <rFont val="Noto Sans CJK SC"/>
        <family val="2"/>
      </rPr>
      <t xml:space="preserve">호</t>
    </r>
  </si>
  <si>
    <t xml:space="preserve">octreotide LAR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</si>
  <si>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2013-139</t>
    </r>
    <r>
      <rPr>
        <sz val="9"/>
        <color rgb="FF595959"/>
        <rFont val="Noto Sans CJK SC"/>
        <family val="2"/>
      </rPr>
      <t xml:space="preserve">호</t>
    </r>
  </si>
  <si>
    <t xml:space="preserve">olaparib(tablet)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</si>
  <si>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2021-242</t>
    </r>
    <r>
      <rPr>
        <sz val="9"/>
        <color rgb="FF595959"/>
        <rFont val="Noto Sans CJK SC"/>
        <family val="2"/>
      </rPr>
      <t xml:space="preserve">호</t>
    </r>
  </si>
  <si>
    <t xml:space="preserve">osimertinib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</si>
  <si>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2017-260</t>
    </r>
    <r>
      <rPr>
        <sz val="9"/>
        <color rgb="FF595959"/>
        <rFont val="Noto Sans CJK SC"/>
        <family val="2"/>
      </rPr>
      <t xml:space="preserve">호</t>
    </r>
  </si>
  <si>
    <t xml:space="preserve">palbociclib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</si>
  <si>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2017-229</t>
    </r>
    <r>
      <rPr>
        <sz val="9"/>
        <color rgb="FF595959"/>
        <rFont val="Noto Sans CJK SC"/>
        <family val="2"/>
      </rPr>
      <t xml:space="preserve">호</t>
    </r>
  </si>
  <si>
    <t xml:space="preserve">pazopanib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</si>
  <si>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2011-3</t>
    </r>
    <r>
      <rPr>
        <sz val="9"/>
        <color rgb="FF595959"/>
        <rFont val="Noto Sans CJK SC"/>
        <family val="2"/>
      </rPr>
      <t xml:space="preserve">호</t>
    </r>
  </si>
  <si>
    <t xml:space="preserve">pembrolizumab</t>
  </si>
  <si>
    <t xml:space="preserve">pemigatinib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</si>
  <si>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2025-112</t>
    </r>
    <r>
      <rPr>
        <sz val="9"/>
        <color rgb="FF595959"/>
        <rFont val="Noto Sans CJK SC"/>
        <family val="2"/>
      </rPr>
      <t xml:space="preserve">호</t>
    </r>
  </si>
  <si>
    <t xml:space="preserve">pertuzumab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</si>
  <si>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2017-132</t>
    </r>
    <r>
      <rPr>
        <sz val="9"/>
        <color rgb="FF595959"/>
        <rFont val="Noto Sans CJK SC"/>
        <family val="2"/>
      </rPr>
      <t xml:space="preserve">호</t>
    </r>
  </si>
  <si>
    <t xml:space="preserve">pomalidomide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</si>
  <si>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2016-343</t>
    </r>
    <r>
      <rPr>
        <sz val="9"/>
        <color rgb="FF595959"/>
        <rFont val="Noto Sans CJK SC"/>
        <family val="2"/>
      </rPr>
      <t xml:space="preserve">호</t>
    </r>
  </si>
  <si>
    <t xml:space="preserve">ramucirumab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</si>
  <si>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2018-94</t>
    </r>
    <r>
      <rPr>
        <sz val="9"/>
        <color rgb="FF595959"/>
        <rFont val="Noto Sans CJK SC"/>
        <family val="2"/>
      </rPr>
      <t xml:space="preserve">호</t>
    </r>
  </si>
  <si>
    <t xml:space="preserve">regorafenib</t>
  </si>
  <si>
    <t xml:space="preserve">ribociclib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</si>
  <si>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2020-282</t>
    </r>
    <r>
      <rPr>
        <sz val="9"/>
        <color rgb="FF595959"/>
        <rFont val="Noto Sans CJK SC"/>
        <family val="2"/>
      </rPr>
      <t xml:space="preserve">호</t>
    </r>
  </si>
  <si>
    <t xml:space="preserve">rituximab</t>
  </si>
  <si>
    <t xml:space="preserve">sacituzumab govitecan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</si>
  <si>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2025-129</t>
    </r>
    <r>
      <rPr>
        <sz val="9"/>
        <color rgb="FF595959"/>
        <rFont val="Noto Sans CJK SC"/>
        <family val="2"/>
      </rPr>
      <t xml:space="preserve">호</t>
    </r>
  </si>
  <si>
    <t xml:space="preserve">sorafenib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</si>
  <si>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2007-3</t>
    </r>
    <r>
      <rPr>
        <sz val="9"/>
        <color rgb="FF595959"/>
        <rFont val="Noto Sans CJK SC"/>
        <family val="2"/>
      </rPr>
      <t xml:space="preserve">호</t>
    </r>
  </si>
  <si>
    <t xml:space="preserve">sunitinib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</si>
  <si>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2007-2</t>
    </r>
    <r>
      <rPr>
        <sz val="9"/>
        <color rgb="FF595959"/>
        <rFont val="Noto Sans CJK SC"/>
        <family val="2"/>
      </rPr>
      <t xml:space="preserve">호</t>
    </r>
  </si>
  <si>
    <t xml:space="preserve">temozolomide</t>
  </si>
  <si>
    <t xml:space="preserve">tislelizumab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</si>
  <si>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2025-88</t>
    </r>
    <r>
      <rPr>
        <sz val="9"/>
        <color rgb="FF595959"/>
        <rFont val="Noto Sans CJK SC"/>
        <family val="2"/>
      </rPr>
      <t xml:space="preserve">호</t>
    </r>
  </si>
  <si>
    <t xml:space="preserve">trametinib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</si>
  <si>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2017-228</t>
    </r>
    <r>
      <rPr>
        <sz val="9"/>
        <color rgb="FF595959"/>
        <rFont val="Noto Sans CJK SC"/>
        <family val="2"/>
      </rPr>
      <t xml:space="preserve">호</t>
    </r>
  </si>
  <si>
    <t xml:space="preserve">trastuzumab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</si>
  <si>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2008-2</t>
    </r>
    <r>
      <rPr>
        <sz val="9"/>
        <color rgb="FF595959"/>
        <rFont val="Noto Sans CJK SC"/>
        <family val="2"/>
      </rPr>
      <t xml:space="preserve">호</t>
    </r>
  </si>
  <si>
    <t xml:space="preserve">trastuzumab deruxtecan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</si>
  <si>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2024-85</t>
    </r>
    <r>
      <rPr>
        <sz val="9"/>
        <color rgb="FF595959"/>
        <rFont val="Noto Sans CJK SC"/>
        <family val="2"/>
      </rPr>
      <t xml:space="preserve">호</t>
    </r>
  </si>
  <si>
    <t xml:space="preserve">trastuzumab emtansine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</si>
  <si>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2017-176</t>
    </r>
    <r>
      <rPr>
        <sz val="9"/>
        <color rgb="FF595959"/>
        <rFont val="Noto Sans CJK SC"/>
        <family val="2"/>
      </rPr>
      <t xml:space="preserve">호</t>
    </r>
  </si>
  <si>
    <t xml:space="preserve">venetoclax</t>
  </si>
  <si>
    <t xml:space="preserve">zanubrutinib</t>
  </si>
  <si>
    <r>
      <rPr>
        <sz val="9"/>
        <color rgb="FF595959"/>
        <rFont val="Noto Sans CJK SC"/>
        <family val="2"/>
      </rPr>
      <t xml:space="preserve">제</t>
    </r>
    <r>
      <rPr>
        <sz val="9"/>
        <color rgb="FF595959"/>
        <rFont val="Arial"/>
        <family val="0"/>
        <charset val="1"/>
      </rPr>
      <t xml:space="preserve">2023-128</t>
    </r>
    <r>
      <rPr>
        <sz val="9"/>
        <color rgb="FF595959"/>
        <rFont val="Noto Sans CJK SC"/>
        <family val="2"/>
      </rPr>
      <t xml:space="preserve">호</t>
    </r>
  </si>
  <si>
    <r>
      <rPr>
        <b val="true"/>
        <sz val="14"/>
        <color rgb="FF1F4E78"/>
        <rFont val="Noto Sans CJK SC"/>
        <family val="2"/>
      </rPr>
      <t xml:space="preserve">키트루다</t>
    </r>
    <r>
      <rPr>
        <b val="true"/>
        <sz val="14"/>
        <color rgb="FF1F4E78"/>
        <rFont val="Arial"/>
        <family val="0"/>
        <charset val="1"/>
      </rPr>
      <t xml:space="preserve">(pembrolizumab) </t>
    </r>
    <r>
      <rPr>
        <b val="true"/>
        <sz val="14"/>
        <color rgb="FF1F4E78"/>
        <rFont val="Noto Sans CJK SC"/>
        <family val="2"/>
      </rPr>
      <t xml:space="preserve">국내 급여 적응증 — </t>
    </r>
    <r>
      <rPr>
        <b val="true"/>
        <sz val="14"/>
        <color rgb="FF1F4E78"/>
        <rFont val="Arial"/>
        <family val="0"/>
        <charset val="1"/>
      </rPr>
      <t xml:space="preserve">13</t>
    </r>
    <r>
      <rPr>
        <b val="true"/>
        <sz val="14"/>
        <color rgb="FF1F4E78"/>
        <rFont val="Noto Sans CJK SC"/>
        <family val="2"/>
      </rPr>
      <t xml:space="preserve">개 암종</t>
    </r>
  </si>
  <si>
    <r>
      <rPr>
        <i val="true"/>
        <sz val="9"/>
        <color rgb="FF595959"/>
        <rFont val="Noto Sans CJK SC"/>
        <family val="2"/>
      </rPr>
      <t xml:space="preserve">용법용량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전 적응증 공통</t>
    </r>
    <r>
      <rPr>
        <i val="true"/>
        <sz val="9"/>
        <color rgb="FF595959"/>
        <rFont val="Arial"/>
        <family val="0"/>
        <charset val="1"/>
      </rPr>
      <t xml:space="preserve">): 200mg IV q3w </t>
    </r>
    <r>
      <rPr>
        <i val="true"/>
        <sz val="9"/>
        <color rgb="FF595959"/>
        <rFont val="Noto Sans CJK SC"/>
        <family val="2"/>
      </rPr>
      <t xml:space="preserve">또는 </t>
    </r>
    <r>
      <rPr>
        <i val="true"/>
        <sz val="9"/>
        <color rgb="FF595959"/>
        <rFont val="Arial"/>
        <family val="0"/>
        <charset val="1"/>
      </rPr>
      <t xml:space="preserve">400mg IV q6w </t>
    </r>
    <r>
      <rPr>
        <i val="true"/>
        <sz val="9"/>
        <color rgb="FF595959"/>
        <rFont val="Noto Sans CJK SC"/>
        <family val="2"/>
      </rPr>
      <t xml:space="preserve">고정용량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체표면적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체중 무관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급여인정기간 일반원칙</t>
    </r>
    <r>
      <rPr>
        <i val="true"/>
        <sz val="9"/>
        <color rgb="FF595959"/>
        <rFont val="Arial"/>
        <family val="0"/>
        <charset val="1"/>
      </rPr>
      <t xml:space="preserve">: 1</t>
    </r>
    <r>
      <rPr>
        <i val="true"/>
        <sz val="9"/>
        <color rgb="FF595959"/>
        <rFont val="Noto Sans CJK SC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질병진행 시 중단</t>
    </r>
    <r>
      <rPr>
        <i val="true"/>
        <sz val="9"/>
        <color rgb="FF595959"/>
        <rFont val="Arial"/>
        <family val="0"/>
        <charset val="1"/>
      </rPr>
      <t xml:space="preserve">), </t>
    </r>
    <r>
      <rPr>
        <i val="true"/>
        <sz val="9"/>
        <color rgb="FF595959"/>
        <rFont val="Noto Sans CJK SC"/>
        <family val="2"/>
      </rPr>
      <t xml:space="preserve">임상결과 미발표 시 최대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년 자동연장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</si>
  <si>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C00000"/>
        <rFont val="Noto Sans CJK SC"/>
        <family val="2"/>
      </rPr>
      <t xml:space="preserve">기존 급여 </t>
    </r>
    <r>
      <rPr>
        <i val="true"/>
        <sz val="9"/>
        <color rgb="FFC00000"/>
        <rFont val="Arial"/>
        <family val="0"/>
        <charset val="1"/>
      </rPr>
      <t xml:space="preserve">4</t>
    </r>
    <r>
      <rPr>
        <i val="true"/>
        <sz val="9"/>
        <color rgb="FFC00000"/>
        <rFont val="Noto Sans CJK SC"/>
        <family val="2"/>
      </rPr>
      <t xml:space="preserve">종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폐</t>
    </r>
    <r>
      <rPr>
        <i val="true"/>
        <sz val="9"/>
        <color rgb="FFC00000"/>
        <rFont val="Arial"/>
        <family val="0"/>
        <charset val="1"/>
      </rPr>
      <t xml:space="preserve">·</t>
    </r>
    <r>
      <rPr>
        <i val="true"/>
        <sz val="9"/>
        <color rgb="FFC00000"/>
        <rFont val="Noto Sans CJK SC"/>
        <family val="2"/>
      </rPr>
      <t xml:space="preserve">흑색종</t>
    </r>
    <r>
      <rPr>
        <i val="true"/>
        <sz val="9"/>
        <color rgb="FFC00000"/>
        <rFont val="Arial"/>
        <family val="0"/>
        <charset val="1"/>
      </rPr>
      <t xml:space="preserve">·</t>
    </r>
    <r>
      <rPr>
        <i val="true"/>
        <sz val="9"/>
        <color rgb="FFC00000"/>
        <rFont val="Noto Sans CJK SC"/>
        <family val="2"/>
      </rPr>
      <t xml:space="preserve">호지킨</t>
    </r>
    <r>
      <rPr>
        <i val="true"/>
        <sz val="9"/>
        <color rgb="FFC00000"/>
        <rFont val="Arial"/>
        <family val="0"/>
        <charset val="1"/>
      </rPr>
      <t xml:space="preserve">·</t>
    </r>
    <r>
      <rPr>
        <i val="true"/>
        <sz val="9"/>
        <color rgb="FFC00000"/>
        <rFont val="Noto Sans CJK SC"/>
        <family val="2"/>
      </rPr>
      <t xml:space="preserve">요로상피</t>
    </r>
    <r>
      <rPr>
        <i val="true"/>
        <sz val="9"/>
        <color rgb="FFC00000"/>
        <rFont val="Arial"/>
        <family val="0"/>
        <charset val="1"/>
      </rPr>
      <t xml:space="preserve">) + 2025</t>
    </r>
    <r>
      <rPr>
        <i val="true"/>
        <sz val="9"/>
        <color rgb="FFC00000"/>
        <rFont val="Noto Sans CJK SC"/>
        <family val="2"/>
      </rPr>
      <t xml:space="preserve">년 제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차 암질심 신규 </t>
    </r>
    <r>
      <rPr>
        <i val="true"/>
        <sz val="9"/>
        <color rgb="FFC00000"/>
        <rFont val="Arial"/>
        <family val="0"/>
        <charset val="1"/>
      </rPr>
      <t xml:space="preserve">7</t>
    </r>
    <r>
      <rPr>
        <i val="true"/>
        <sz val="9"/>
        <color rgb="FFC00000"/>
        <rFont val="Noto Sans CJK SC"/>
        <family val="2"/>
      </rPr>
      <t xml:space="preserve">개암종 </t>
    </r>
    <r>
      <rPr>
        <i val="true"/>
        <sz val="9"/>
        <color rgb="FFC00000"/>
        <rFont val="Arial"/>
        <family val="0"/>
        <charset val="1"/>
      </rPr>
      <t xml:space="preserve">11</t>
    </r>
    <r>
      <rPr>
        <i val="true"/>
        <sz val="9"/>
        <color rgb="FFC00000"/>
        <rFont val="Noto Sans CJK SC"/>
        <family val="2"/>
      </rPr>
      <t xml:space="preserve">적응증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공고개정 </t>
    </r>
    <r>
      <rPr>
        <i val="true"/>
        <sz val="9"/>
        <color rgb="FFC00000"/>
        <rFont val="Arial"/>
        <family val="0"/>
        <charset val="1"/>
      </rPr>
      <t xml:space="preserve">2025-256</t>
    </r>
    <r>
      <rPr>
        <i val="true"/>
        <sz val="9"/>
        <color rgb="FFC00000"/>
        <rFont val="Noto Sans CJK SC"/>
        <family val="2"/>
      </rPr>
      <t xml:space="preserve">호 계열</t>
    </r>
    <r>
      <rPr>
        <i val="true"/>
        <sz val="9"/>
        <color rgb="FFC00000"/>
        <rFont val="Arial"/>
        <family val="0"/>
        <charset val="1"/>
      </rPr>
      <t xml:space="preserve">, 2026.1.1 </t>
    </r>
    <r>
      <rPr>
        <i val="true"/>
        <sz val="9"/>
        <color rgb="FFC00000"/>
        <rFont val="Noto Sans CJK SC"/>
        <family val="2"/>
      </rPr>
      <t xml:space="preserve">시행</t>
    </r>
    <r>
      <rPr>
        <i val="true"/>
        <sz val="9"/>
        <color rgb="FFC00000"/>
        <rFont val="Arial"/>
        <family val="0"/>
        <charset val="1"/>
      </rPr>
      <t xml:space="preserve">) </t>
    </r>
    <r>
      <rPr>
        <i val="true"/>
        <sz val="9"/>
        <color rgb="FFC00000"/>
        <rFont val="Noto Sans CJK SC"/>
        <family val="2"/>
      </rPr>
      <t xml:space="preserve">반영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</si>
  <si>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연번</t>
  </si>
  <si>
    <r>
      <rPr>
        <b val="true"/>
        <sz val="10"/>
        <color rgb="FFFFFFFF"/>
        <rFont val="Noto Sans CJK SC"/>
        <family val="2"/>
      </rPr>
      <t xml:space="preserve">투여대상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바이오마커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병기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</si>
  <si>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병용요법</t>
  </si>
  <si>
    <t xml:space="preserve">근거시험</t>
  </si>
  <si>
    <t xml:space="preserve">급여구분</t>
  </si>
  <si>
    <r>
      <rPr>
        <sz val="9"/>
        <rFont val="Arial"/>
        <family val="0"/>
        <charset val="1"/>
      </rPr>
      <t xml:space="preserve">PD-L1 TPS≥50%, EGFR/ALK </t>
    </r>
    <r>
      <rPr>
        <sz val="9"/>
        <rFont val="Noto Sans CJK SC"/>
        <family val="2"/>
      </rPr>
      <t xml:space="preserve">음성</t>
    </r>
  </si>
  <si>
    <t xml:space="preserve">단독</t>
  </si>
  <si>
    <t xml:space="preserve">KEYNOTE-024</t>
  </si>
  <si>
    <t xml:space="preserve">기존급여</t>
  </si>
  <si>
    <t xml:space="preserve">공고확인</t>
  </si>
  <si>
    <r>
      <rPr>
        <sz val="9"/>
        <rFont val="Noto Sans CJK SC"/>
        <family val="2"/>
      </rPr>
      <t xml:space="preserve">전이성 비편평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편평</t>
    </r>
  </si>
  <si>
    <r>
      <rPr>
        <sz val="9"/>
        <rFont val="Arial"/>
        <family val="0"/>
        <charset val="1"/>
      </rPr>
      <t xml:space="preserve">pemetrexed </t>
    </r>
    <r>
      <rPr>
        <sz val="9"/>
        <rFont val="Noto Sans CJK SC"/>
        <family val="2"/>
      </rPr>
      <t xml:space="preserve">또는 </t>
    </r>
    <r>
      <rPr>
        <sz val="9"/>
        <rFont val="Arial"/>
        <family val="0"/>
        <charset val="1"/>
      </rPr>
      <t xml:space="preserve">paclitaxel+</t>
    </r>
    <r>
      <rPr>
        <sz val="9"/>
        <rFont val="Noto Sans CJK SC"/>
        <family val="2"/>
      </rPr>
      <t xml:space="preserve">백금</t>
    </r>
  </si>
  <si>
    <t xml:space="preserve">KEYNOTE-189/407</t>
  </si>
  <si>
    <t xml:space="preserve">PD-L1 TPS≥1%</t>
  </si>
  <si>
    <t xml:space="preserve">KEYNOTE-010</t>
  </si>
  <si>
    <r>
      <rPr>
        <sz val="9"/>
        <rFont val="Noto Sans CJK SC"/>
        <family val="2"/>
      </rPr>
      <t xml:space="preserve">수술불가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전이성</t>
    </r>
    <r>
      <rPr>
        <sz val="9"/>
        <rFont val="Arial"/>
        <family val="0"/>
        <charset val="1"/>
      </rPr>
      <t xml:space="preserve">, PD-1/L1 naive</t>
    </r>
  </si>
  <si>
    <t xml:space="preserve">KEYNOTE-006</t>
  </si>
  <si>
    <r>
      <rPr>
        <sz val="9"/>
        <rFont val="Noto Sans CJK SC"/>
        <family val="2"/>
      </rPr>
      <t xml:space="preserve">재발성 또는 불응성 </t>
    </r>
    <r>
      <rPr>
        <sz val="9"/>
        <rFont val="Arial"/>
        <family val="0"/>
        <charset val="1"/>
      </rPr>
      <t xml:space="preserve">cHL</t>
    </r>
  </si>
  <si>
    <t xml:space="preserve">KEYNOTE-204</t>
  </si>
  <si>
    <r>
      <rPr>
        <sz val="9"/>
        <rFont val="Noto Sans CJK SC"/>
        <family val="2"/>
      </rPr>
      <t xml:space="preserve">백금 후 진행 또는 </t>
    </r>
    <r>
      <rPr>
        <sz val="9"/>
        <rFont val="Arial"/>
        <family val="0"/>
        <charset val="1"/>
      </rPr>
      <t xml:space="preserve">cisplatin </t>
    </r>
    <r>
      <rPr>
        <sz val="9"/>
        <rFont val="Noto Sans CJK SC"/>
        <family val="2"/>
      </rPr>
      <t xml:space="preserve">부적격</t>
    </r>
  </si>
  <si>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차</t>
    </r>
    <r>
      <rPr>
        <sz val="9"/>
        <rFont val="Arial"/>
        <family val="0"/>
        <charset val="1"/>
      </rPr>
      <t xml:space="preserve">/1</t>
    </r>
    <r>
      <rPr>
        <sz val="9"/>
        <rFont val="Noto Sans CJK SC"/>
        <family val="2"/>
      </rPr>
      <t xml:space="preserve">차</t>
    </r>
  </si>
  <si>
    <t xml:space="preserve">KEYNOTE-045/052</t>
  </si>
  <si>
    <r>
      <rPr>
        <sz val="9"/>
        <rFont val="Noto Sans CJK SC"/>
        <family val="2"/>
      </rPr>
      <t xml:space="preserve">위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위식도접합부암</t>
    </r>
  </si>
  <si>
    <r>
      <rPr>
        <sz val="9"/>
        <rFont val="Arial"/>
        <family val="0"/>
        <charset val="1"/>
      </rPr>
      <t xml:space="preserve">HER2+ &amp; PD-L1 CPS≥1, </t>
    </r>
    <r>
      <rPr>
        <sz val="9"/>
        <rFont val="Noto Sans CJK SC"/>
        <family val="2"/>
      </rPr>
      <t xml:space="preserve">수술불가 국소진행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</t>
    </r>
  </si>
  <si>
    <r>
      <rPr>
        <sz val="9"/>
        <rFont val="Arial"/>
        <family val="0"/>
        <charset val="1"/>
      </rPr>
      <t xml:space="preserve">trastuzumab+fluoropyrimidine+</t>
    </r>
    <r>
      <rPr>
        <sz val="9"/>
        <rFont val="Noto Sans CJK SC"/>
        <family val="2"/>
      </rPr>
      <t xml:space="preserve">백금</t>
    </r>
  </si>
  <si>
    <r>
      <rPr>
        <b val="true"/>
        <sz val="9"/>
        <color rgb="FFC00000"/>
        <rFont val="Noto Sans CJK SC"/>
        <family val="2"/>
      </rPr>
      <t xml:space="preserve">신규</t>
    </r>
    <r>
      <rPr>
        <b val="true"/>
        <sz val="9"/>
        <color rgb="FFC00000"/>
        <rFont val="Arial"/>
        <family val="0"/>
        <charset val="1"/>
      </rPr>
      <t xml:space="preserve">(2026.1)</t>
    </r>
  </si>
  <si>
    <r>
      <rPr>
        <sz val="9"/>
        <rFont val="Arial"/>
        <family val="0"/>
        <charset val="1"/>
      </rPr>
      <t xml:space="preserve">HER2- &amp; PD-L1 CPS≥10, </t>
    </r>
    <r>
      <rPr>
        <sz val="9"/>
        <rFont val="Noto Sans CJK SC"/>
        <family val="2"/>
      </rPr>
      <t xml:space="preserve">수술불가 국소진행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</t>
    </r>
  </si>
  <si>
    <r>
      <rPr>
        <sz val="9"/>
        <rFont val="Arial"/>
        <family val="0"/>
        <charset val="1"/>
      </rPr>
      <t xml:space="preserve">fluoropyrimidine+</t>
    </r>
    <r>
      <rPr>
        <sz val="9"/>
        <rFont val="Noto Sans CJK SC"/>
        <family val="2"/>
      </rPr>
      <t xml:space="preserve">백금</t>
    </r>
  </si>
  <si>
    <t xml:space="preserve">KEYNOTE-859</t>
  </si>
  <si>
    <r>
      <rPr>
        <sz val="9"/>
        <rFont val="Arial"/>
        <family val="0"/>
        <charset val="1"/>
      </rPr>
      <t xml:space="preserve">PD-L1 CPS≥10, </t>
    </r>
    <r>
      <rPr>
        <sz val="9"/>
        <rFont val="Noto Sans CJK SC"/>
        <family val="2"/>
      </rPr>
      <t xml:space="preserve">수술불가 국소진행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</t>
    </r>
  </si>
  <si>
    <r>
      <rPr>
        <sz val="9"/>
        <rFont val="Noto Sans CJK SC"/>
        <family val="2"/>
      </rPr>
      <t xml:space="preserve">백금</t>
    </r>
    <r>
      <rPr>
        <sz val="9"/>
        <rFont val="Arial"/>
        <family val="0"/>
        <charset val="1"/>
      </rPr>
      <t xml:space="preserve">+fluoropyrimidine</t>
    </r>
  </si>
  <si>
    <t xml:space="preserve">KEYNOTE-590</t>
  </si>
  <si>
    <t xml:space="preserve">자궁내막암</t>
  </si>
  <si>
    <r>
      <rPr>
        <sz val="9"/>
        <rFont val="Arial"/>
        <family val="0"/>
        <charset val="1"/>
      </rPr>
      <t xml:space="preserve">pMMR(</t>
    </r>
    <r>
      <rPr>
        <sz val="9"/>
        <rFont val="Noto Sans CJK SC"/>
        <family val="2"/>
      </rPr>
      <t xml:space="preserve">비</t>
    </r>
    <r>
      <rPr>
        <sz val="9"/>
        <rFont val="Arial"/>
        <family val="0"/>
        <charset val="1"/>
      </rPr>
      <t xml:space="preserve">MSI-H/</t>
    </r>
    <r>
      <rPr>
        <sz val="9"/>
        <rFont val="Noto Sans CJK SC"/>
        <family val="2"/>
      </rPr>
      <t xml:space="preserve">비</t>
    </r>
    <r>
      <rPr>
        <sz val="9"/>
        <rFont val="Arial"/>
        <family val="0"/>
        <charset val="1"/>
      </rPr>
      <t xml:space="preserve">dMMR), </t>
    </r>
    <r>
      <rPr>
        <sz val="9"/>
        <rFont val="Noto Sans CJK SC"/>
        <family val="2"/>
      </rPr>
      <t xml:space="preserve">전신요법 후 진행</t>
    </r>
  </si>
  <si>
    <r>
      <rPr>
        <sz val="9"/>
        <rFont val="Arial"/>
        <family val="0"/>
        <charset val="1"/>
      </rPr>
      <t xml:space="preserve">lenvatinib </t>
    </r>
    <r>
      <rPr>
        <sz val="9"/>
        <rFont val="Noto Sans CJK SC"/>
        <family val="2"/>
      </rPr>
      <t xml:space="preserve">병용</t>
    </r>
  </si>
  <si>
    <r>
      <rPr>
        <sz val="9"/>
        <rFont val="Arial"/>
        <family val="0"/>
        <charset val="1"/>
      </rPr>
      <t xml:space="preserve">MSI-H/dMMR, </t>
    </r>
    <r>
      <rPr>
        <sz val="9"/>
        <rFont val="Noto Sans CJK SC"/>
        <family val="2"/>
      </rPr>
      <t xml:space="preserve">치료 후 진행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대체옵션 없음</t>
    </r>
  </si>
  <si>
    <t xml:space="preserve">KEYNOTE-158</t>
  </si>
  <si>
    <r>
      <rPr>
        <sz val="9"/>
        <rFont val="Arial"/>
        <family val="0"/>
        <charset val="1"/>
      </rPr>
      <t xml:space="preserve">MSI-H/dMMR, </t>
    </r>
    <r>
      <rPr>
        <sz val="9"/>
        <rFont val="Noto Sans CJK SC"/>
        <family val="2"/>
      </rPr>
      <t xml:space="preserve">수술불가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전이성</t>
    </r>
  </si>
  <si>
    <t xml:space="preserve">KEYNOTE-177</t>
  </si>
  <si>
    <t xml:space="preserve">두경부편평세포암</t>
  </si>
  <si>
    <r>
      <rPr>
        <sz val="9"/>
        <rFont val="Noto Sans CJK SC"/>
        <family val="2"/>
      </rPr>
      <t xml:space="preserve">전이성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수술불가 재발성</t>
    </r>
    <r>
      <rPr>
        <sz val="9"/>
        <rFont val="Arial"/>
        <family val="0"/>
        <charset val="1"/>
      </rPr>
      <t xml:space="preserve">, PD-L1 CPS≥1</t>
    </r>
  </si>
  <si>
    <r>
      <rPr>
        <sz val="9"/>
        <rFont val="Noto Sans CJK SC"/>
        <family val="2"/>
      </rPr>
      <t xml:space="preserve">전이성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수술불가 재발성</t>
    </r>
  </si>
  <si>
    <r>
      <rPr>
        <sz val="9"/>
        <rFont val="Noto Sans CJK SC"/>
        <family val="2"/>
      </rPr>
      <t xml:space="preserve">백금</t>
    </r>
    <r>
      <rPr>
        <sz val="9"/>
        <rFont val="Arial"/>
        <family val="0"/>
        <charset val="1"/>
      </rPr>
      <t xml:space="preserve">+5-FU </t>
    </r>
    <r>
      <rPr>
        <sz val="9"/>
        <rFont val="Noto Sans CJK SC"/>
        <family val="2"/>
      </rPr>
      <t xml:space="preserve">병용</t>
    </r>
  </si>
  <si>
    <r>
      <rPr>
        <sz val="9"/>
        <rFont val="Arial"/>
        <family val="0"/>
        <charset val="1"/>
      </rPr>
      <t xml:space="preserve">PD-L1 CPS≥1, </t>
    </r>
    <r>
      <rPr>
        <sz val="9"/>
        <rFont val="Noto Sans CJK SC"/>
        <family val="2"/>
      </rPr>
      <t xml:space="preserve">지속성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재발성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전이성</t>
    </r>
  </si>
  <si>
    <r>
      <rPr>
        <sz val="9"/>
        <rFont val="Noto Sans CJK SC"/>
        <family val="2"/>
      </rPr>
      <t xml:space="preserve">화학요법 </t>
    </r>
    <r>
      <rPr>
        <sz val="9"/>
        <rFont val="Arial"/>
        <family val="0"/>
        <charset val="1"/>
      </rPr>
      <t xml:space="preserve">± bevacizumab</t>
    </r>
  </si>
  <si>
    <t xml:space="preserve">삼중음성유방암</t>
  </si>
  <si>
    <r>
      <rPr>
        <sz val="9"/>
        <rFont val="Arial"/>
        <family val="0"/>
        <charset val="1"/>
      </rPr>
      <t xml:space="preserve">PD-L1 CPS≥10, </t>
    </r>
    <r>
      <rPr>
        <sz val="9"/>
        <rFont val="Noto Sans CJK SC"/>
        <family val="2"/>
      </rPr>
      <t xml:space="preserve">수술불가 국소재발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전이</t>
    </r>
  </si>
  <si>
    <t xml:space="preserve">화학요법 병용</t>
  </si>
  <si>
    <t xml:space="preserve">소장암</t>
  </si>
  <si>
    <r>
      <rPr>
        <i val="true"/>
        <sz val="9"/>
        <color rgb="FF595959"/>
        <rFont val="Noto Sans CJK SC"/>
        <family val="2"/>
      </rPr>
      <t xml:space="preserve">검증</t>
    </r>
    <r>
      <rPr>
        <i val="true"/>
        <sz val="9"/>
        <color rgb="FF595959"/>
        <rFont val="Arial"/>
        <family val="0"/>
        <charset val="1"/>
      </rPr>
      <t xml:space="preserve">: '</t>
    </r>
    <r>
      <rPr>
        <i val="true"/>
        <sz val="9"/>
        <color rgb="FF595959"/>
        <rFont val="Noto Sans CJK SC"/>
        <family val="2"/>
      </rPr>
      <t xml:space="preserve">공고확인</t>
    </r>
    <r>
      <rPr>
        <i val="true"/>
        <sz val="9"/>
        <color rgb="FF595959"/>
        <rFont val="Arial"/>
        <family val="0"/>
        <charset val="1"/>
      </rPr>
      <t xml:space="preserve">'=2025 </t>
    </r>
    <r>
      <rPr>
        <i val="true"/>
        <sz val="9"/>
        <color rgb="FF595959"/>
        <rFont val="Noto Sans CJK SC"/>
        <family val="2"/>
      </rPr>
      <t xml:space="preserve">암질심 의결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공고개정 기준 일치</t>
    </r>
    <r>
      <rPr>
        <i val="true"/>
        <sz val="9"/>
        <color rgb="FF595959"/>
        <rFont val="Arial"/>
        <family val="0"/>
        <charset val="1"/>
      </rPr>
      <t xml:space="preserve">. CPS/MSI </t>
    </r>
    <r>
      <rPr>
        <i val="true"/>
        <sz val="9"/>
        <color rgb="FF595959"/>
        <rFont val="Noto Sans CJK SC"/>
        <family val="2"/>
      </rPr>
      <t xml:space="preserve">기준은 처방 시 최신 공고 본문으로 재확인 권장</t>
    </r>
    <r>
      <rPr>
        <i val="true"/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</si>
</sst>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3"/>
      <color rgb="FFC0000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4"/>
      <color rgb="FF1F4E78"/>
      <name val="Noto Sans CJK SC"/>
      <family val="2"/>
    </font>
    <font>
      <b val="true"/>
      <sz val="14"/>
      <color rgb="FF1F4E78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b val="true"/>
      <sz val="11"/>
      <color rgb="FF375623"/>
      <name val="Noto Sans CJK SC"/>
      <family val="2"/>
    </font>
    <font>
      <b val="true"/>
      <sz val="11"/>
      <color rgb="FF37562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595959"/>
      <name val="Noto Sans CJK SC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375623"/>
      <name val="Noto Sans CJK SC"/>
      <family val="2"/>
    </font>
    <font>
      <sz val="9"/>
      <color rgb="FFC00000"/>
      <name val="Noto Sans CJK SC"/>
      <family val="2"/>
    </font>
    <font>
      <b val="true"/>
      <sz val="13"/>
      <color rgb="FF1F4E78"/>
      <name val="Arial"/>
      <family val="0"/>
      <charset val="1"/>
    </font>
    <font>
      <b val="true"/>
      <sz val="13"/>
      <color rgb="FF1F4E78"/>
      <name val="Noto Sans CJK SC"/>
      <family val="2"/>
    </font>
    <font>
      <b val="true"/>
      <sz val="11"/>
      <color rgb="FFBFBFBF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42" hidden="false" customHeight="tru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/>
      <c r="C8" s="4"/>
    </row>
    <row r="9" customFormat="false" ht="20.1" hidden="false" customHeight="false" outlineLevel="0" collapsed="false">
      <c r="B9" s="5" t="s">
        <v>8</v>
      </c>
      <c r="C9" s="4"/>
    </row>
    <row r="10" customFormat="false" ht="29.85" hidden="false" customHeight="false" outlineLevel="0" collapsed="false">
      <c r="B10" s="6" t="s">
        <v>9</v>
      </c>
      <c r="C10" s="4" t="s">
        <v>10</v>
      </c>
    </row>
    <row r="11" customFormat="false" ht="15" hidden="false" customHeight="false" outlineLevel="0" collapsed="false">
      <c r="B11" s="6" t="s">
        <v>11</v>
      </c>
      <c r="C11" s="4" t="s">
        <v>12</v>
      </c>
    </row>
    <row r="12" customFormat="false" ht="15" hidden="false" customHeight="false" outlineLevel="0" collapsed="false">
      <c r="B12" s="6" t="s">
        <v>13</v>
      </c>
      <c r="C12" s="7" t="s">
        <v>14</v>
      </c>
    </row>
    <row r="13" customFormat="false" ht="15" hidden="false" customHeight="false" outlineLevel="0" collapsed="false">
      <c r="B13" s="6" t="s">
        <v>15</v>
      </c>
      <c r="C13" s="7" t="s">
        <v>16</v>
      </c>
    </row>
    <row r="14" customFormat="false" ht="15" hidden="false" customHeight="false" outlineLevel="0" collapsed="false">
      <c r="B14" s="3"/>
      <c r="C14" s="4"/>
    </row>
    <row r="15" customFormat="false" ht="42" hidden="false" customHeight="true" outlineLevel="0" collapsed="false">
      <c r="B15" s="8" t="s">
        <v>17</v>
      </c>
      <c r="C15" s="4" t="s">
        <v>18</v>
      </c>
    </row>
    <row r="16" customFormat="false" ht="29.85" hidden="false" customHeight="false" outlineLevel="0" collapsed="false">
      <c r="B16" s="3" t="s">
        <v>19</v>
      </c>
      <c r="C16" s="7" t="s">
        <v>20</v>
      </c>
    </row>
    <row r="17" customFormat="false" ht="15" hidden="false" customHeight="false" outlineLevel="0" collapsed="false">
      <c r="B17" s="3"/>
      <c r="C17" s="4"/>
    </row>
    <row r="18" customFormat="false" ht="15" hidden="false" customHeight="false" outlineLevel="0" collapsed="false">
      <c r="B18" s="3" t="s">
        <v>21</v>
      </c>
      <c r="C18" s="7" t="s">
        <v>22</v>
      </c>
    </row>
    <row r="19" customFormat="false" ht="15" hidden="false" customHeight="false" outlineLevel="0" collapsed="false">
      <c r="B19" s="3"/>
      <c r="C19" s="4" t="s">
        <v>23</v>
      </c>
    </row>
    <row r="20" customFormat="false" ht="15" hidden="false" customHeight="false" outlineLevel="0" collapsed="false">
      <c r="B20" s="3" t="s">
        <v>24</v>
      </c>
      <c r="C20" s="7" t="s">
        <v>25</v>
      </c>
    </row>
    <row r="21" customFormat="false" ht="15" hidden="false" customHeight="false" outlineLevel="0" collapsed="false">
      <c r="B21" s="3" t="s">
        <v>26</v>
      </c>
      <c r="C21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0"/>
  </cols>
  <sheetData>
    <row r="2" customFormat="false" ht="21.6" hidden="false" customHeight="false" outlineLevel="0" collapsed="false">
      <c r="B2" s="9" t="s">
        <v>28</v>
      </c>
    </row>
    <row r="4" customFormat="false" ht="17.15" hidden="false" customHeight="false" outlineLevel="0" collapsed="false">
      <c r="B4" s="10" t="s">
        <v>29</v>
      </c>
    </row>
    <row r="5" customFormat="false" ht="15" hidden="false" customHeight="false" outlineLevel="0" collapsed="false">
      <c r="B5" s="11" t="s">
        <v>30</v>
      </c>
      <c r="C5" s="12" t="n">
        <v>165</v>
      </c>
      <c r="D5" s="13" t="s">
        <v>31</v>
      </c>
      <c r="E5" s="14" t="s">
        <v>32</v>
      </c>
    </row>
    <row r="6" customFormat="false" ht="15" hidden="false" customHeight="false" outlineLevel="0" collapsed="false">
      <c r="B6" s="11" t="s">
        <v>33</v>
      </c>
      <c r="C6" s="12" t="n">
        <v>62</v>
      </c>
      <c r="D6" s="13" t="s">
        <v>34</v>
      </c>
      <c r="E6" s="14" t="s">
        <v>35</v>
      </c>
    </row>
    <row r="7" customFormat="false" ht="15" hidden="false" customHeight="false" outlineLevel="0" collapsed="false">
      <c r="B7" s="11" t="s">
        <v>36</v>
      </c>
      <c r="C7" s="12" t="n">
        <v>60</v>
      </c>
      <c r="D7" s="15" t="s">
        <v>37</v>
      </c>
      <c r="E7" s="16" t="s">
        <v>38</v>
      </c>
    </row>
    <row r="8" customFormat="false" ht="15" hidden="false" customHeight="false" outlineLevel="0" collapsed="false">
      <c r="B8" s="11" t="s">
        <v>39</v>
      </c>
      <c r="C8" s="12" t="s">
        <v>40</v>
      </c>
      <c r="D8" s="13" t="s">
        <v>41</v>
      </c>
      <c r="E8" s="14" t="s">
        <v>42</v>
      </c>
    </row>
    <row r="9" customFormat="false" ht="15" hidden="false" customHeight="false" outlineLevel="0" collapsed="false">
      <c r="B9" s="11" t="s">
        <v>43</v>
      </c>
      <c r="C9" s="12" t="n">
        <v>0.9</v>
      </c>
      <c r="D9" s="13" t="s">
        <v>44</v>
      </c>
      <c r="E9" s="14" t="s">
        <v>45</v>
      </c>
    </row>
    <row r="11" customFormat="false" ht="17.15" hidden="false" customHeight="false" outlineLevel="0" collapsed="false">
      <c r="B11" s="17" t="s">
        <v>46</v>
      </c>
    </row>
    <row r="12" customFormat="false" ht="15" hidden="false" customHeight="false" outlineLevel="0" collapsed="false">
      <c r="B12" s="18" t="s">
        <v>47</v>
      </c>
      <c r="C12" s="19" t="n">
        <f aca="false">SQRT(C5*C6/3600)</f>
        <v>1.68572437446537</v>
      </c>
      <c r="D12" s="13" t="s">
        <v>48</v>
      </c>
      <c r="E12" s="14" t="s">
        <v>49</v>
      </c>
    </row>
    <row r="13" customFormat="false" ht="15" hidden="false" customHeight="false" outlineLevel="0" collapsed="false">
      <c r="B13" s="18" t="s">
        <v>50</v>
      </c>
      <c r="C13" s="19" t="n">
        <f aca="false">0.007184*C5^0.725*C6^0.425</f>
        <v>1.68193284360375</v>
      </c>
      <c r="D13" s="13" t="s">
        <v>48</v>
      </c>
      <c r="E13" s="14" t="s">
        <v>51</v>
      </c>
    </row>
    <row r="14" customFormat="false" ht="15" hidden="false" customHeight="false" outlineLevel="0" collapsed="false">
      <c r="B14" s="11" t="s">
        <v>52</v>
      </c>
      <c r="C14" s="19" t="n">
        <f aca="false">C12</f>
        <v>1.68572437446537</v>
      </c>
      <c r="D14" s="13" t="s">
        <v>48</v>
      </c>
      <c r="E14" s="14" t="s">
        <v>53</v>
      </c>
    </row>
    <row r="15" customFormat="false" ht="15" hidden="false" customHeight="false" outlineLevel="0" collapsed="false">
      <c r="B15" s="18" t="s">
        <v>54</v>
      </c>
      <c r="C15" s="19" t="n">
        <f aca="false">((140-C7)*C6*IF(C8="F",0.85,1))/(72*C9)</f>
        <v>76.5432098765432</v>
      </c>
      <c r="D15" s="13" t="s">
        <v>55</v>
      </c>
      <c r="E15" s="14" t="s">
        <v>56</v>
      </c>
    </row>
    <row r="16" customFormat="false" ht="15" hidden="false" customHeight="false" outlineLevel="0" collapsed="false">
      <c r="B16" s="11" t="s">
        <v>57</v>
      </c>
      <c r="C16" s="19" t="n">
        <f aca="false">MIN(C15,125)</f>
        <v>76.5432098765432</v>
      </c>
      <c r="D16" s="13" t="s">
        <v>55</v>
      </c>
      <c r="E16" s="16" t="s">
        <v>58</v>
      </c>
    </row>
    <row r="18" customFormat="false" ht="15" hidden="false" customHeight="false" outlineLevel="0" collapsed="false">
      <c r="B18" s="20" t="s">
        <v>59</v>
      </c>
    </row>
  </sheetData>
  <dataValidations count="1">
    <dataValidation allowBlank="false" errorStyle="stop" operator="between" showDropDown="false" showErrorMessage="false" showInputMessage="false" sqref="C8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20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3" min="12" style="0" width="9"/>
    <col collapsed="false" customWidth="true" hidden="false" outlineLevel="0" max="15" min="14" style="0" width="8"/>
    <col collapsed="false" customWidth="true" hidden="false" outlineLevel="0" max="16" min="16" style="0" width="7"/>
    <col collapsed="false" customWidth="true" hidden="false" outlineLevel="0" max="17" min="17" style="0" width="26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8"/>
    <col collapsed="false" customWidth="true" hidden="false" outlineLevel="0" max="21" min="21" style="0" width="10"/>
  </cols>
  <sheetData>
    <row r="1" customFormat="false" ht="29.85" hidden="false" customHeight="false" outlineLevel="0" collapsed="false">
      <c r="A1" s="21" t="s">
        <v>60</v>
      </c>
      <c r="B1" s="21" t="s">
        <v>61</v>
      </c>
      <c r="C1" s="21" t="s">
        <v>62</v>
      </c>
      <c r="D1" s="21" t="s">
        <v>63</v>
      </c>
      <c r="E1" s="21" t="s">
        <v>64</v>
      </c>
      <c r="F1" s="21" t="s">
        <v>65</v>
      </c>
      <c r="G1" s="21" t="s">
        <v>66</v>
      </c>
      <c r="H1" s="21" t="s">
        <v>67</v>
      </c>
      <c r="I1" s="21" t="s">
        <v>68</v>
      </c>
      <c r="J1" s="21" t="s">
        <v>69</v>
      </c>
      <c r="K1" s="21" t="s">
        <v>70</v>
      </c>
      <c r="L1" s="21" t="s">
        <v>71</v>
      </c>
      <c r="M1" s="21" t="s">
        <v>72</v>
      </c>
      <c r="N1" s="21" t="s">
        <v>73</v>
      </c>
      <c r="O1" s="21" t="s">
        <v>74</v>
      </c>
      <c r="P1" s="21" t="s">
        <v>75</v>
      </c>
      <c r="Q1" s="21" t="s">
        <v>76</v>
      </c>
      <c r="R1" s="22" t="s">
        <v>77</v>
      </c>
      <c r="S1" s="21" t="s">
        <v>78</v>
      </c>
      <c r="T1" s="21" t="s">
        <v>79</v>
      </c>
      <c r="U1" s="21" t="s">
        <v>80</v>
      </c>
    </row>
    <row r="2" customFormat="false" ht="15" hidden="false" customHeight="false" outlineLevel="0" collapsed="false">
      <c r="A2" s="23" t="s">
        <v>81</v>
      </c>
      <c r="B2" s="23" t="n">
        <v>1</v>
      </c>
      <c r="C2" s="24" t="s">
        <v>82</v>
      </c>
      <c r="D2" s="25" t="s">
        <v>83</v>
      </c>
      <c r="E2" s="23" t="s">
        <v>84</v>
      </c>
      <c r="F2" s="23" t="s">
        <v>85</v>
      </c>
      <c r="G2" s="25" t="s">
        <v>86</v>
      </c>
      <c r="H2" s="23" t="s">
        <v>87</v>
      </c>
      <c r="I2" s="23" t="n">
        <v>100</v>
      </c>
      <c r="J2" s="23" t="s">
        <v>88</v>
      </c>
      <c r="K2" s="23" t="s">
        <v>89</v>
      </c>
      <c r="L2" s="23" t="n">
        <v>3</v>
      </c>
      <c r="M2" s="23" t="n">
        <v>21</v>
      </c>
      <c r="N2" s="23" t="s">
        <v>90</v>
      </c>
      <c r="O2" s="23" t="n">
        <v>4</v>
      </c>
      <c r="P2" s="23" t="s">
        <v>91</v>
      </c>
      <c r="Q2" s="25"/>
      <c r="R2" s="26" t="n">
        <f aca="false">IF(N(I2)=0,"",IF(OR(J2="mg/m²",J2="mg/m²/day"),I2*계산기!$C$14,IF(J2="mg/kg",I2*계산기!$C$6,IF(J2="AUC",I2*(계산기!$C$16+25),IF(J2="mg",I2,"")))))</f>
        <v>168.572437446537</v>
      </c>
      <c r="S2" s="26" t="n">
        <f aca="false">IF(OR(R2="",L2=""),"",R2*L2)</f>
        <v>505.717312339611</v>
      </c>
      <c r="T2" s="27" t="s">
        <v>92</v>
      </c>
      <c r="U2" s="28" t="s">
        <v>93</v>
      </c>
    </row>
    <row r="3" customFormat="false" ht="15" hidden="false" customHeight="false" outlineLevel="0" collapsed="false">
      <c r="A3" s="23"/>
      <c r="B3" s="23"/>
      <c r="C3" s="25"/>
      <c r="D3" s="25"/>
      <c r="E3" s="23"/>
      <c r="F3" s="23"/>
      <c r="G3" s="25" t="s">
        <v>94</v>
      </c>
      <c r="H3" s="23" t="s">
        <v>87</v>
      </c>
      <c r="I3" s="23" t="n">
        <v>75</v>
      </c>
      <c r="J3" s="23" t="s">
        <v>88</v>
      </c>
      <c r="K3" s="23" t="s">
        <v>95</v>
      </c>
      <c r="L3" s="23" t="n">
        <v>1</v>
      </c>
      <c r="M3" s="23" t="n">
        <v>21</v>
      </c>
      <c r="N3" s="23" t="s">
        <v>90</v>
      </c>
      <c r="O3" s="23" t="n">
        <v>4</v>
      </c>
      <c r="P3" s="23" t="s">
        <v>91</v>
      </c>
      <c r="Q3" s="25" t="s">
        <v>96</v>
      </c>
      <c r="R3" s="26" t="n">
        <f aca="false">IF(N(I3)=0,"",IF(OR(J3="mg/m²",J3="mg/m²/day"),I3*계산기!$C$14,IF(J3="mg/kg",I3*계산기!$C$6,IF(J3="AUC",I3*(계산기!$C$16+25),IF(J3="mg",I3,"")))))</f>
        <v>126.429328084903</v>
      </c>
      <c r="S3" s="26" t="n">
        <f aca="false">IF(OR(R3="",L3=""),"",R3*L3)</f>
        <v>126.429328084903</v>
      </c>
      <c r="T3" s="27"/>
      <c r="U3" s="28"/>
    </row>
    <row r="4" customFormat="false" ht="15" hidden="false" customHeight="false" outlineLevel="0" collapsed="false">
      <c r="A4" s="23" t="s">
        <v>97</v>
      </c>
      <c r="B4" s="23" t="n">
        <v>1</v>
      </c>
      <c r="C4" s="24" t="s">
        <v>82</v>
      </c>
      <c r="D4" s="25" t="s">
        <v>98</v>
      </c>
      <c r="E4" s="23" t="s">
        <v>99</v>
      </c>
      <c r="F4" s="23" t="s">
        <v>85</v>
      </c>
      <c r="G4" s="25" t="s">
        <v>86</v>
      </c>
      <c r="H4" s="23" t="s">
        <v>87</v>
      </c>
      <c r="I4" s="23" t="n">
        <v>100</v>
      </c>
      <c r="J4" s="23" t="s">
        <v>88</v>
      </c>
      <c r="K4" s="23" t="s">
        <v>89</v>
      </c>
      <c r="L4" s="23" t="n">
        <v>3</v>
      </c>
      <c r="M4" s="23" t="n">
        <v>21</v>
      </c>
      <c r="N4" s="23" t="s">
        <v>90</v>
      </c>
      <c r="O4" s="23" t="n">
        <v>4</v>
      </c>
      <c r="P4" s="23" t="s">
        <v>91</v>
      </c>
      <c r="Q4" s="25"/>
      <c r="R4" s="26" t="n">
        <f aca="false">IF(N(I4)=0,"",IF(OR(J4="mg/m²",J4="mg/m²/day"),I4*계산기!$C$14,IF(J4="mg/kg",I4*계산기!$C$6,IF(J4="AUC",I4*(계산기!$C$16+25),IF(J4="mg",I4,"")))))</f>
        <v>168.572437446537</v>
      </c>
      <c r="S4" s="26" t="n">
        <f aca="false">IF(OR(R4="",L4=""),"",R4*L4)</f>
        <v>505.717312339611</v>
      </c>
      <c r="T4" s="27" t="s">
        <v>92</v>
      </c>
      <c r="U4" s="28" t="s">
        <v>93</v>
      </c>
    </row>
    <row r="5" customFormat="false" ht="15" hidden="false" customHeight="false" outlineLevel="0" collapsed="false">
      <c r="A5" s="23"/>
      <c r="B5" s="23"/>
      <c r="C5" s="25"/>
      <c r="D5" s="25"/>
      <c r="E5" s="23"/>
      <c r="F5" s="23"/>
      <c r="G5" s="25" t="s">
        <v>100</v>
      </c>
      <c r="H5" s="23" t="s">
        <v>87</v>
      </c>
      <c r="I5" s="23" t="n">
        <v>5</v>
      </c>
      <c r="J5" s="23" t="s">
        <v>101</v>
      </c>
      <c r="K5" s="23" t="s">
        <v>95</v>
      </c>
      <c r="L5" s="23" t="n">
        <v>1</v>
      </c>
      <c r="M5" s="23" t="n">
        <v>21</v>
      </c>
      <c r="N5" s="23" t="s">
        <v>90</v>
      </c>
      <c r="O5" s="23" t="n">
        <v>4</v>
      </c>
      <c r="P5" s="23" t="s">
        <v>91</v>
      </c>
      <c r="Q5" s="25" t="s">
        <v>102</v>
      </c>
      <c r="R5" s="26" t="n">
        <f aca="false">IF(N(I5)=0,"",IF(OR(J5="mg/m²",J5="mg/m²/day"),I5*계산기!$C$14,IF(J5="mg/kg",I5*계산기!$C$6,IF(J5="AUC",I5*(계산기!$C$16+25),IF(J5="mg",I5,"")))))</f>
        <v>507.716049382716</v>
      </c>
      <c r="S5" s="26" t="n">
        <f aca="false">IF(OR(R5="",L5=""),"",R5*L5)</f>
        <v>507.716049382716</v>
      </c>
      <c r="T5" s="27"/>
      <c r="U5" s="28"/>
    </row>
    <row r="6" customFormat="false" ht="15" hidden="false" customHeight="false" outlineLevel="0" collapsed="false">
      <c r="A6" s="23" t="s">
        <v>103</v>
      </c>
      <c r="B6" s="23" t="n">
        <v>1</v>
      </c>
      <c r="C6" s="24" t="s">
        <v>82</v>
      </c>
      <c r="D6" s="25" t="s">
        <v>104</v>
      </c>
      <c r="E6" s="23" t="s">
        <v>99</v>
      </c>
      <c r="F6" s="23" t="s">
        <v>85</v>
      </c>
      <c r="G6" s="25" t="s">
        <v>105</v>
      </c>
      <c r="H6" s="23" t="s">
        <v>106</v>
      </c>
      <c r="I6" s="23" t="n">
        <v>1200</v>
      </c>
      <c r="J6" s="23" t="s">
        <v>107</v>
      </c>
      <c r="K6" s="23" t="s">
        <v>95</v>
      </c>
      <c r="L6" s="23" t="n">
        <v>1</v>
      </c>
      <c r="M6" s="23" t="n">
        <v>21</v>
      </c>
      <c r="N6" s="23" t="s">
        <v>90</v>
      </c>
      <c r="O6" s="23"/>
      <c r="P6" s="23" t="s">
        <v>91</v>
      </c>
      <c r="Q6" s="24" t="s">
        <v>108</v>
      </c>
      <c r="R6" s="26" t="n">
        <f aca="false">IF(N(I6)=0,"",IF(OR(J6="mg/m²",J6="mg/m²/day"),I6*계산기!$C$14,IF(J6="mg/kg",I6*계산기!$C$6,IF(J6="AUC",I6*(계산기!$C$16+25),IF(J6="mg",I6,"")))))</f>
        <v>1200</v>
      </c>
      <c r="S6" s="26" t="n">
        <f aca="false">IF(OR(R6="",L6=""),"",R6*L6)</f>
        <v>1200</v>
      </c>
      <c r="T6" s="27" t="s">
        <v>92</v>
      </c>
      <c r="U6" s="28" t="s">
        <v>93</v>
      </c>
    </row>
    <row r="7" customFormat="false" ht="15" hidden="false" customHeight="false" outlineLevel="0" collapsed="false">
      <c r="A7" s="23"/>
      <c r="B7" s="23"/>
      <c r="C7" s="25"/>
      <c r="D7" s="25"/>
      <c r="E7" s="23"/>
      <c r="F7" s="23"/>
      <c r="G7" s="25" t="s">
        <v>100</v>
      </c>
      <c r="H7" s="23" t="s">
        <v>87</v>
      </c>
      <c r="I7" s="23" t="n">
        <v>5</v>
      </c>
      <c r="J7" s="23" t="s">
        <v>101</v>
      </c>
      <c r="K7" s="23" t="s">
        <v>95</v>
      </c>
      <c r="L7" s="23" t="n">
        <v>1</v>
      </c>
      <c r="M7" s="23" t="n">
        <v>21</v>
      </c>
      <c r="N7" s="23" t="s">
        <v>90</v>
      </c>
      <c r="O7" s="23" t="n">
        <v>4</v>
      </c>
      <c r="P7" s="23" t="s">
        <v>91</v>
      </c>
      <c r="Q7" s="25"/>
      <c r="R7" s="26" t="n">
        <f aca="false">IF(N(I7)=0,"",IF(OR(J7="mg/m²",J7="mg/m²/day"),I7*계산기!$C$14,IF(J7="mg/kg",I7*계산기!$C$6,IF(J7="AUC",I7*(계산기!$C$16+25),IF(J7="mg",I7,"")))))</f>
        <v>507.716049382716</v>
      </c>
      <c r="S7" s="26" t="n">
        <f aca="false">IF(OR(R7="",L7=""),"",R7*L7)</f>
        <v>507.716049382716</v>
      </c>
      <c r="T7" s="27"/>
      <c r="U7" s="28"/>
    </row>
    <row r="8" customFormat="false" ht="15" hidden="false" customHeight="false" outlineLevel="0" collapsed="false">
      <c r="A8" s="23"/>
      <c r="B8" s="23"/>
      <c r="C8" s="25"/>
      <c r="D8" s="25"/>
      <c r="E8" s="23"/>
      <c r="F8" s="23"/>
      <c r="G8" s="25" t="s">
        <v>86</v>
      </c>
      <c r="H8" s="23" t="s">
        <v>87</v>
      </c>
      <c r="I8" s="23" t="n">
        <v>100</v>
      </c>
      <c r="J8" s="23" t="s">
        <v>88</v>
      </c>
      <c r="K8" s="23" t="s">
        <v>89</v>
      </c>
      <c r="L8" s="23" t="n">
        <v>3</v>
      </c>
      <c r="M8" s="23" t="n">
        <v>21</v>
      </c>
      <c r="N8" s="23" t="s">
        <v>90</v>
      </c>
      <c r="O8" s="23" t="n">
        <v>4</v>
      </c>
      <c r="P8" s="23" t="s">
        <v>91</v>
      </c>
      <c r="Q8" s="25"/>
      <c r="R8" s="26" t="n">
        <f aca="false">IF(N(I8)=0,"",IF(OR(J8="mg/m²",J8="mg/m²/day"),I8*계산기!$C$14,IF(J8="mg/kg",I8*계산기!$C$6,IF(J8="AUC",I8*(계산기!$C$16+25),IF(J8="mg",I8,"")))))</f>
        <v>168.572437446537</v>
      </c>
      <c r="S8" s="26" t="n">
        <f aca="false">IF(OR(R8="",L8=""),"",R8*L8)</f>
        <v>505.717312339611</v>
      </c>
      <c r="T8" s="27"/>
      <c r="U8" s="28"/>
    </row>
    <row r="9" customFormat="false" ht="15" hidden="false" customHeight="false" outlineLevel="0" collapsed="false">
      <c r="A9" s="23" t="s">
        <v>109</v>
      </c>
      <c r="B9" s="23" t="n">
        <v>1</v>
      </c>
      <c r="C9" s="24" t="s">
        <v>82</v>
      </c>
      <c r="D9" s="25" t="s">
        <v>110</v>
      </c>
      <c r="E9" s="23" t="s">
        <v>111</v>
      </c>
      <c r="F9" s="23" t="s">
        <v>112</v>
      </c>
      <c r="G9" s="25" t="s">
        <v>110</v>
      </c>
      <c r="H9" s="23" t="s">
        <v>87</v>
      </c>
      <c r="I9" s="23" t="n">
        <v>1.5</v>
      </c>
      <c r="J9" s="23" t="s">
        <v>88</v>
      </c>
      <c r="K9" s="23" t="s">
        <v>113</v>
      </c>
      <c r="L9" s="23" t="n">
        <v>5</v>
      </c>
      <c r="M9" s="23" t="n">
        <v>21</v>
      </c>
      <c r="N9" s="23" t="s">
        <v>90</v>
      </c>
      <c r="O9" s="23"/>
      <c r="P9" s="23" t="s">
        <v>91</v>
      </c>
      <c r="Q9" s="25"/>
      <c r="R9" s="26" t="n">
        <f aca="false">IF(N(I9)=0,"",IF(OR(J9="mg/m²",J9="mg/m²/day"),I9*계산기!$C$14,IF(J9="mg/kg",I9*계산기!$C$6,IF(J9="AUC",I9*(계산기!$C$16+25),IF(J9="mg",I9,"")))))</f>
        <v>2.52858656169806</v>
      </c>
      <c r="S9" s="26" t="n">
        <f aca="false">IF(OR(R9="",L9=""),"",R9*L9)</f>
        <v>12.6429328084903</v>
      </c>
      <c r="T9" s="27" t="s">
        <v>92</v>
      </c>
      <c r="U9" s="28" t="s">
        <v>93</v>
      </c>
    </row>
    <row r="10" customFormat="false" ht="15" hidden="false" customHeight="false" outlineLevel="0" collapsed="false">
      <c r="A10" s="23" t="s">
        <v>114</v>
      </c>
      <c r="B10" s="23" t="n">
        <v>2</v>
      </c>
      <c r="C10" s="24" t="s">
        <v>115</v>
      </c>
      <c r="D10" s="25" t="s">
        <v>116</v>
      </c>
      <c r="E10" s="23" t="s">
        <v>117</v>
      </c>
      <c r="F10" s="23" t="s">
        <v>85</v>
      </c>
      <c r="G10" s="25" t="s">
        <v>118</v>
      </c>
      <c r="H10" s="23" t="s">
        <v>87</v>
      </c>
      <c r="I10" s="23" t="n">
        <v>500</v>
      </c>
      <c r="J10" s="23" t="s">
        <v>88</v>
      </c>
      <c r="K10" s="23" t="s">
        <v>95</v>
      </c>
      <c r="L10" s="23" t="n">
        <v>1</v>
      </c>
      <c r="M10" s="23" t="n">
        <v>21</v>
      </c>
      <c r="N10" s="23" t="s">
        <v>90</v>
      </c>
      <c r="O10" s="23" t="n">
        <v>4</v>
      </c>
      <c r="P10" s="23" t="s">
        <v>91</v>
      </c>
      <c r="Q10" s="24" t="s">
        <v>119</v>
      </c>
      <c r="R10" s="26" t="n">
        <f aca="false">IF(N(I10)=0,"",IF(OR(J10="mg/m²",J10="mg/m²/day"),I10*계산기!$C$14,IF(J10="mg/kg",I10*계산기!$C$6,IF(J10="AUC",I10*(계산기!$C$16+25),IF(J10="mg",I10,"")))))</f>
        <v>842.862187232686</v>
      </c>
      <c r="S10" s="26" t="n">
        <f aca="false">IF(OR(R10="",L10=""),"",R10*L10)</f>
        <v>842.862187232686</v>
      </c>
      <c r="T10" s="27" t="s">
        <v>92</v>
      </c>
      <c r="U10" s="28" t="s">
        <v>93</v>
      </c>
    </row>
    <row r="11" customFormat="false" ht="15" hidden="false" customHeight="false" outlineLevel="0" collapsed="false">
      <c r="A11" s="23"/>
      <c r="B11" s="23"/>
      <c r="C11" s="25"/>
      <c r="D11" s="25"/>
      <c r="E11" s="23"/>
      <c r="F11" s="23"/>
      <c r="G11" s="25" t="s">
        <v>94</v>
      </c>
      <c r="H11" s="23" t="s">
        <v>87</v>
      </c>
      <c r="I11" s="23" t="n">
        <v>75</v>
      </c>
      <c r="J11" s="23" t="s">
        <v>88</v>
      </c>
      <c r="K11" s="23" t="s">
        <v>95</v>
      </c>
      <c r="L11" s="23" t="n">
        <v>1</v>
      </c>
      <c r="M11" s="23" t="n">
        <v>21</v>
      </c>
      <c r="N11" s="23" t="s">
        <v>90</v>
      </c>
      <c r="O11" s="23" t="n">
        <v>4</v>
      </c>
      <c r="P11" s="23" t="s">
        <v>91</v>
      </c>
      <c r="Q11" s="25"/>
      <c r="R11" s="26" t="n">
        <f aca="false">IF(N(I11)=0,"",IF(OR(J11="mg/m²",J11="mg/m²/day"),I11*계산기!$C$14,IF(J11="mg/kg",I11*계산기!$C$6,IF(J11="AUC",I11*(계산기!$C$16+25),IF(J11="mg",I11,"")))))</f>
        <v>126.429328084903</v>
      </c>
      <c r="S11" s="26" t="n">
        <f aca="false">IF(OR(R11="",L11=""),"",R11*L11)</f>
        <v>126.429328084903</v>
      </c>
      <c r="T11" s="27"/>
      <c r="U11" s="28"/>
    </row>
    <row r="12" customFormat="false" ht="15" hidden="false" customHeight="false" outlineLevel="0" collapsed="false">
      <c r="A12" s="23" t="s">
        <v>120</v>
      </c>
      <c r="B12" s="23" t="n">
        <v>2</v>
      </c>
      <c r="C12" s="24" t="s">
        <v>115</v>
      </c>
      <c r="D12" s="25" t="s">
        <v>121</v>
      </c>
      <c r="E12" s="23" t="s">
        <v>99</v>
      </c>
      <c r="F12" s="23" t="s">
        <v>85</v>
      </c>
      <c r="G12" s="25" t="s">
        <v>122</v>
      </c>
      <c r="H12" s="23" t="s">
        <v>87</v>
      </c>
      <c r="I12" s="23" t="n">
        <v>200</v>
      </c>
      <c r="J12" s="23" t="s">
        <v>88</v>
      </c>
      <c r="K12" s="23" t="s">
        <v>95</v>
      </c>
      <c r="L12" s="23" t="n">
        <v>1</v>
      </c>
      <c r="M12" s="23" t="n">
        <v>21</v>
      </c>
      <c r="N12" s="23" t="s">
        <v>90</v>
      </c>
      <c r="O12" s="23" t="n">
        <v>4</v>
      </c>
      <c r="P12" s="23" t="s">
        <v>91</v>
      </c>
      <c r="Q12" s="25"/>
      <c r="R12" s="26" t="n">
        <f aca="false">IF(N(I12)=0,"",IF(OR(J12="mg/m²",J12="mg/m²/day"),I12*계산기!$C$14,IF(J12="mg/kg",I12*계산기!$C$6,IF(J12="AUC",I12*(계산기!$C$16+25),IF(J12="mg",I12,"")))))</f>
        <v>337.144874893074</v>
      </c>
      <c r="S12" s="26" t="n">
        <f aca="false">IF(OR(R12="",L12=""),"",R12*L12)</f>
        <v>337.144874893074</v>
      </c>
      <c r="T12" s="27" t="s">
        <v>92</v>
      </c>
      <c r="U12" s="28" t="s">
        <v>93</v>
      </c>
    </row>
    <row r="13" customFormat="false" ht="15" hidden="false" customHeight="false" outlineLevel="0" collapsed="false">
      <c r="A13" s="23"/>
      <c r="B13" s="23"/>
      <c r="C13" s="25"/>
      <c r="D13" s="25"/>
      <c r="E13" s="23"/>
      <c r="F13" s="23"/>
      <c r="G13" s="25" t="s">
        <v>100</v>
      </c>
      <c r="H13" s="23" t="s">
        <v>87</v>
      </c>
      <c r="I13" s="23" t="n">
        <v>6</v>
      </c>
      <c r="J13" s="23" t="s">
        <v>101</v>
      </c>
      <c r="K13" s="23" t="s">
        <v>95</v>
      </c>
      <c r="L13" s="23" t="n">
        <v>1</v>
      </c>
      <c r="M13" s="23" t="n">
        <v>21</v>
      </c>
      <c r="N13" s="23" t="s">
        <v>90</v>
      </c>
      <c r="O13" s="23" t="n">
        <v>4</v>
      </c>
      <c r="P13" s="23" t="s">
        <v>91</v>
      </c>
      <c r="Q13" s="25"/>
      <c r="R13" s="26" t="n">
        <f aca="false">IF(N(I13)=0,"",IF(OR(J13="mg/m²",J13="mg/m²/day"),I13*계산기!$C$14,IF(J13="mg/kg",I13*계산기!$C$6,IF(J13="AUC",I13*(계산기!$C$16+25),IF(J13="mg",I13,"")))))</f>
        <v>609.259259259259</v>
      </c>
      <c r="S13" s="26" t="n">
        <f aca="false">IF(OR(R13="",L13=""),"",R13*L13)</f>
        <v>609.259259259259</v>
      </c>
      <c r="T13" s="27"/>
      <c r="U13" s="28"/>
    </row>
    <row r="14" customFormat="false" ht="15" hidden="false" customHeight="false" outlineLevel="0" collapsed="false">
      <c r="A14" s="23" t="s">
        <v>123</v>
      </c>
      <c r="B14" s="23" t="n">
        <v>2</v>
      </c>
      <c r="C14" s="24" t="s">
        <v>115</v>
      </c>
      <c r="D14" s="25" t="s">
        <v>124</v>
      </c>
      <c r="E14" s="23" t="s">
        <v>99</v>
      </c>
      <c r="F14" s="23" t="s">
        <v>85</v>
      </c>
      <c r="G14" s="25" t="s">
        <v>125</v>
      </c>
      <c r="H14" s="23" t="s">
        <v>87</v>
      </c>
      <c r="I14" s="23" t="n">
        <v>1250</v>
      </c>
      <c r="J14" s="23" t="s">
        <v>88</v>
      </c>
      <c r="K14" s="23" t="s">
        <v>126</v>
      </c>
      <c r="L14" s="23" t="n">
        <v>2</v>
      </c>
      <c r="M14" s="23" t="n">
        <v>21</v>
      </c>
      <c r="N14" s="23" t="s">
        <v>90</v>
      </c>
      <c r="O14" s="23" t="n">
        <v>4</v>
      </c>
      <c r="P14" s="23" t="s">
        <v>91</v>
      </c>
      <c r="Q14" s="25"/>
      <c r="R14" s="26" t="n">
        <f aca="false">IF(N(I14)=0,"",IF(OR(J14="mg/m²",J14="mg/m²/day"),I14*계산기!$C$14,IF(J14="mg/kg",I14*계산기!$C$6,IF(J14="AUC",I14*(계산기!$C$16+25),IF(J14="mg",I14,"")))))</f>
        <v>2107.15546808171</v>
      </c>
      <c r="S14" s="26" t="n">
        <f aca="false">IF(OR(R14="",L14=""),"",R14*L14)</f>
        <v>4214.31093616343</v>
      </c>
      <c r="T14" s="27" t="s">
        <v>92</v>
      </c>
      <c r="U14" s="28" t="s">
        <v>93</v>
      </c>
    </row>
    <row r="15" customFormat="false" ht="15" hidden="false" customHeight="false" outlineLevel="0" collapsed="false">
      <c r="A15" s="23"/>
      <c r="B15" s="23"/>
      <c r="C15" s="25"/>
      <c r="D15" s="25"/>
      <c r="E15" s="23"/>
      <c r="F15" s="23"/>
      <c r="G15" s="25" t="s">
        <v>94</v>
      </c>
      <c r="H15" s="23" t="s">
        <v>87</v>
      </c>
      <c r="I15" s="23" t="n">
        <v>75</v>
      </c>
      <c r="J15" s="23" t="s">
        <v>88</v>
      </c>
      <c r="K15" s="23" t="s">
        <v>95</v>
      </c>
      <c r="L15" s="23" t="n">
        <v>1</v>
      </c>
      <c r="M15" s="23" t="n">
        <v>21</v>
      </c>
      <c r="N15" s="23" t="s">
        <v>90</v>
      </c>
      <c r="O15" s="23" t="n">
        <v>4</v>
      </c>
      <c r="P15" s="23" t="s">
        <v>91</v>
      </c>
      <c r="Q15" s="25"/>
      <c r="R15" s="26" t="n">
        <f aca="false">IF(N(I15)=0,"",IF(OR(J15="mg/m²",J15="mg/m²/day"),I15*계산기!$C$14,IF(J15="mg/kg",I15*계산기!$C$6,IF(J15="AUC",I15*(계산기!$C$16+25),IF(J15="mg",I15,"")))))</f>
        <v>126.429328084903</v>
      </c>
      <c r="S15" s="26" t="n">
        <f aca="false">IF(OR(R15="",L15=""),"",R15*L15)</f>
        <v>126.429328084903</v>
      </c>
      <c r="T15" s="27"/>
      <c r="U15" s="28"/>
    </row>
    <row r="16" customFormat="false" ht="15" hidden="false" customHeight="false" outlineLevel="0" collapsed="false">
      <c r="A16" s="23" t="s">
        <v>127</v>
      </c>
      <c r="B16" s="23" t="n">
        <v>2</v>
      </c>
      <c r="C16" s="24" t="s">
        <v>115</v>
      </c>
      <c r="D16" s="25" t="s">
        <v>128</v>
      </c>
      <c r="E16" s="23" t="s">
        <v>111</v>
      </c>
      <c r="F16" s="23" t="s">
        <v>112</v>
      </c>
      <c r="G16" s="25" t="s">
        <v>128</v>
      </c>
      <c r="H16" s="23" t="s">
        <v>87</v>
      </c>
      <c r="I16" s="23" t="n">
        <v>75</v>
      </c>
      <c r="J16" s="23" t="s">
        <v>88</v>
      </c>
      <c r="K16" s="23" t="s">
        <v>95</v>
      </c>
      <c r="L16" s="23" t="n">
        <v>1</v>
      </c>
      <c r="M16" s="23" t="n">
        <v>21</v>
      </c>
      <c r="N16" s="23" t="s">
        <v>90</v>
      </c>
      <c r="O16" s="23"/>
      <c r="P16" s="23" t="s">
        <v>91</v>
      </c>
      <c r="Q16" s="25"/>
      <c r="R16" s="26" t="n">
        <f aca="false">IF(N(I16)=0,"",IF(OR(J16="mg/m²",J16="mg/m²/day"),I16*계산기!$C$14,IF(J16="mg/kg",I16*계산기!$C$6,IF(J16="AUC",I16*(계산기!$C$16+25),IF(J16="mg",I16,"")))))</f>
        <v>126.429328084903</v>
      </c>
      <c r="S16" s="26" t="n">
        <f aca="false">IF(OR(R16="",L16=""),"",R16*L16)</f>
        <v>126.429328084903</v>
      </c>
      <c r="T16" s="27" t="s">
        <v>92</v>
      </c>
      <c r="U16" s="28" t="s">
        <v>93</v>
      </c>
    </row>
    <row r="17" customFormat="false" ht="15" hidden="false" customHeight="false" outlineLevel="0" collapsed="false">
      <c r="A17" s="23" t="s">
        <v>129</v>
      </c>
      <c r="B17" s="23" t="n">
        <v>2</v>
      </c>
      <c r="C17" s="24" t="s">
        <v>115</v>
      </c>
      <c r="D17" s="25" t="s">
        <v>130</v>
      </c>
      <c r="E17" s="23" t="s">
        <v>99</v>
      </c>
      <c r="F17" s="23" t="s">
        <v>85</v>
      </c>
      <c r="G17" s="25" t="s">
        <v>131</v>
      </c>
      <c r="H17" s="23" t="s">
        <v>106</v>
      </c>
      <c r="I17" s="23" t="n">
        <v>200</v>
      </c>
      <c r="J17" s="23" t="s">
        <v>107</v>
      </c>
      <c r="K17" s="23" t="s">
        <v>95</v>
      </c>
      <c r="L17" s="23" t="n">
        <v>1</v>
      </c>
      <c r="M17" s="23" t="n">
        <v>21</v>
      </c>
      <c r="N17" s="23" t="s">
        <v>90</v>
      </c>
      <c r="O17" s="23"/>
      <c r="P17" s="23" t="s">
        <v>91</v>
      </c>
      <c r="Q17" s="25" t="s">
        <v>132</v>
      </c>
      <c r="R17" s="26" t="n">
        <f aca="false">IF(N(I17)=0,"",IF(OR(J17="mg/m²",J17="mg/m²/day"),I17*계산기!$C$14,IF(J17="mg/kg",I17*계산기!$C$6,IF(J17="AUC",I17*(계산기!$C$16+25),IF(J17="mg",I17,"")))))</f>
        <v>200</v>
      </c>
      <c r="S17" s="26" t="n">
        <f aca="false">IF(OR(R17="",L17=""),"",R17*L17)</f>
        <v>200</v>
      </c>
      <c r="T17" s="27" t="s">
        <v>92</v>
      </c>
      <c r="U17" s="28" t="s">
        <v>93</v>
      </c>
    </row>
    <row r="18" customFormat="false" ht="15" hidden="false" customHeight="false" outlineLevel="0" collapsed="false">
      <c r="A18" s="23" t="s">
        <v>133</v>
      </c>
      <c r="B18" s="23" t="n">
        <v>2</v>
      </c>
      <c r="C18" s="24" t="s">
        <v>115</v>
      </c>
      <c r="D18" s="25" t="s">
        <v>134</v>
      </c>
      <c r="E18" s="23" t="s">
        <v>117</v>
      </c>
      <c r="F18" s="23" t="s">
        <v>85</v>
      </c>
      <c r="G18" s="25" t="s">
        <v>134</v>
      </c>
      <c r="H18" s="23" t="s">
        <v>106</v>
      </c>
      <c r="I18" s="23" t="n">
        <v>80</v>
      </c>
      <c r="J18" s="23" t="s">
        <v>107</v>
      </c>
      <c r="K18" s="29" t="s">
        <v>135</v>
      </c>
      <c r="L18" s="23" t="n">
        <v>1</v>
      </c>
      <c r="M18" s="23" t="n">
        <v>1</v>
      </c>
      <c r="N18" s="23" t="s">
        <v>136</v>
      </c>
      <c r="O18" s="29" t="s">
        <v>137</v>
      </c>
      <c r="P18" s="23" t="s">
        <v>138</v>
      </c>
      <c r="Q18" s="25" t="s">
        <v>139</v>
      </c>
      <c r="R18" s="26" t="n">
        <f aca="false">IF(N(I18)=0,"",IF(OR(J18="mg/m²",J18="mg/m²/day"),I18*계산기!$C$14,IF(J18="mg/kg",I18*계산기!$C$6,IF(J18="AUC",I18*(계산기!$C$16+25),IF(J18="mg",I18,"")))))</f>
        <v>80</v>
      </c>
      <c r="S18" s="26" t="n">
        <f aca="false">IF(OR(R18="",L18=""),"",R18*L18)</f>
        <v>80</v>
      </c>
      <c r="T18" s="27" t="s">
        <v>92</v>
      </c>
      <c r="U18" s="28" t="s">
        <v>93</v>
      </c>
    </row>
    <row r="19" customFormat="false" ht="15" hidden="false" customHeight="false" outlineLevel="0" collapsed="false">
      <c r="A19" s="23" t="s">
        <v>140</v>
      </c>
      <c r="B19" s="23" t="n">
        <v>2</v>
      </c>
      <c r="C19" s="24" t="s">
        <v>115</v>
      </c>
      <c r="D19" s="25" t="s">
        <v>141</v>
      </c>
      <c r="E19" s="23" t="s">
        <v>99</v>
      </c>
      <c r="F19" s="23" t="s">
        <v>142</v>
      </c>
      <c r="G19" s="25" t="s">
        <v>141</v>
      </c>
      <c r="H19" s="23" t="s">
        <v>106</v>
      </c>
      <c r="I19" s="23" t="n">
        <v>250</v>
      </c>
      <c r="J19" s="23" t="s">
        <v>107</v>
      </c>
      <c r="K19" s="29" t="s">
        <v>135</v>
      </c>
      <c r="L19" s="23" t="n">
        <v>1</v>
      </c>
      <c r="M19" s="23" t="n">
        <v>1</v>
      </c>
      <c r="N19" s="23" t="s">
        <v>136</v>
      </c>
      <c r="O19" s="29" t="s">
        <v>137</v>
      </c>
      <c r="P19" s="23" t="s">
        <v>138</v>
      </c>
      <c r="Q19" s="25" t="s">
        <v>139</v>
      </c>
      <c r="R19" s="26" t="n">
        <f aca="false">IF(N(I19)=0,"",IF(OR(J19="mg/m²",J19="mg/m²/day"),I19*계산기!$C$14,IF(J19="mg/kg",I19*계산기!$C$6,IF(J19="AUC",I19*(계산기!$C$16+25),IF(J19="mg",I19,"")))))</f>
        <v>250</v>
      </c>
      <c r="S19" s="26" t="n">
        <f aca="false">IF(OR(R19="",L19=""),"",R19*L19)</f>
        <v>250</v>
      </c>
      <c r="T19" s="27" t="s">
        <v>92</v>
      </c>
      <c r="U19" s="28" t="s">
        <v>93</v>
      </c>
    </row>
    <row r="20" customFormat="false" ht="15" hidden="false" customHeight="false" outlineLevel="0" collapsed="false">
      <c r="A20" s="23" t="s">
        <v>143</v>
      </c>
      <c r="B20" s="23" t="n">
        <v>2</v>
      </c>
      <c r="C20" s="24" t="s">
        <v>115</v>
      </c>
      <c r="D20" s="25" t="s">
        <v>144</v>
      </c>
      <c r="E20" s="23" t="s">
        <v>99</v>
      </c>
      <c r="F20" s="23" t="s">
        <v>85</v>
      </c>
      <c r="G20" s="25" t="s">
        <v>144</v>
      </c>
      <c r="H20" s="23" t="s">
        <v>106</v>
      </c>
      <c r="I20" s="23" t="n">
        <v>600</v>
      </c>
      <c r="J20" s="23" t="s">
        <v>107</v>
      </c>
      <c r="K20" s="23" t="s">
        <v>145</v>
      </c>
      <c r="L20" s="23" t="n">
        <v>2</v>
      </c>
      <c r="M20" s="23" t="n">
        <v>1</v>
      </c>
      <c r="N20" s="23" t="s">
        <v>136</v>
      </c>
      <c r="O20" s="29" t="s">
        <v>137</v>
      </c>
      <c r="P20" s="23" t="s">
        <v>138</v>
      </c>
      <c r="Q20" s="25" t="s">
        <v>146</v>
      </c>
      <c r="R20" s="26" t="n">
        <f aca="false">IF(N(I20)=0,"",IF(OR(J20="mg/m²",J20="mg/m²/day"),I20*계산기!$C$14,IF(J20="mg/kg",I20*계산기!$C$6,IF(J20="AUC",I20*(계산기!$C$16+25),IF(J20="mg",I20,"")))))</f>
        <v>600</v>
      </c>
      <c r="S20" s="26" t="n">
        <f aca="false">IF(OR(R20="",L20=""),"",R20*L20)</f>
        <v>1200</v>
      </c>
      <c r="T20" s="27" t="s">
        <v>92</v>
      </c>
      <c r="U20" s="28" t="s">
        <v>93</v>
      </c>
    </row>
    <row r="21" customFormat="false" ht="15" hidden="false" customHeight="false" outlineLevel="0" collapsed="false">
      <c r="A21" s="23" t="s">
        <v>147</v>
      </c>
      <c r="B21" s="23" t="n">
        <v>3</v>
      </c>
      <c r="C21" s="24" t="s">
        <v>148</v>
      </c>
      <c r="D21" s="25" t="s">
        <v>149</v>
      </c>
      <c r="E21" s="23" t="s">
        <v>117</v>
      </c>
      <c r="F21" s="23" t="s">
        <v>85</v>
      </c>
      <c r="G21" s="25" t="s">
        <v>150</v>
      </c>
      <c r="H21" s="23" t="s">
        <v>87</v>
      </c>
      <c r="I21" s="23" t="n">
        <v>85</v>
      </c>
      <c r="J21" s="23" t="s">
        <v>88</v>
      </c>
      <c r="K21" s="23" t="s">
        <v>95</v>
      </c>
      <c r="L21" s="23" t="n">
        <v>1</v>
      </c>
      <c r="M21" s="23" t="n">
        <v>14</v>
      </c>
      <c r="N21" s="23" t="s">
        <v>151</v>
      </c>
      <c r="O21" s="23"/>
      <c r="P21" s="23" t="s">
        <v>91</v>
      </c>
      <c r="Q21" s="25"/>
      <c r="R21" s="26" t="n">
        <f aca="false">IF(N(I21)=0,"",IF(OR(J21="mg/m²",J21="mg/m²/day"),I21*계산기!$C$14,IF(J21="mg/kg",I21*계산기!$C$6,IF(J21="AUC",I21*(계산기!$C$16+25),IF(J21="mg",I21,"")))))</f>
        <v>143.286571829557</v>
      </c>
      <c r="S21" s="26" t="n">
        <f aca="false">IF(OR(R21="",L21=""),"",R21*L21)</f>
        <v>143.286571829557</v>
      </c>
      <c r="T21" s="27" t="s">
        <v>92</v>
      </c>
      <c r="U21" s="28" t="s">
        <v>93</v>
      </c>
    </row>
    <row r="22" customFormat="false" ht="15" hidden="false" customHeight="false" outlineLevel="0" collapsed="false">
      <c r="A22" s="23"/>
      <c r="B22" s="23"/>
      <c r="C22" s="25"/>
      <c r="D22" s="25"/>
      <c r="E22" s="23"/>
      <c r="F22" s="23"/>
      <c r="G22" s="25" t="s">
        <v>152</v>
      </c>
      <c r="H22" s="23" t="s">
        <v>87</v>
      </c>
      <c r="I22" s="23" t="n">
        <v>400</v>
      </c>
      <c r="J22" s="23" t="s">
        <v>88</v>
      </c>
      <c r="K22" s="23" t="s">
        <v>95</v>
      </c>
      <c r="L22" s="23" t="n">
        <v>1</v>
      </c>
      <c r="M22" s="23" t="n">
        <v>14</v>
      </c>
      <c r="N22" s="23" t="s">
        <v>151</v>
      </c>
      <c r="O22" s="23"/>
      <c r="P22" s="23" t="s">
        <v>91</v>
      </c>
      <c r="Q22" s="25"/>
      <c r="R22" s="26" t="n">
        <f aca="false">IF(N(I22)=0,"",IF(OR(J22="mg/m²",J22="mg/m²/day"),I22*계산기!$C$14,IF(J22="mg/kg",I22*계산기!$C$6,IF(J22="AUC",I22*(계산기!$C$16+25),IF(J22="mg",I22,"")))))</f>
        <v>674.289749786149</v>
      </c>
      <c r="S22" s="26" t="n">
        <f aca="false">IF(OR(R22="",L22=""),"",R22*L22)</f>
        <v>674.289749786149</v>
      </c>
      <c r="T22" s="27"/>
      <c r="U22" s="28"/>
    </row>
    <row r="23" customFormat="false" ht="15" hidden="false" customHeight="false" outlineLevel="0" collapsed="false">
      <c r="A23" s="23"/>
      <c r="B23" s="23"/>
      <c r="C23" s="25"/>
      <c r="D23" s="25"/>
      <c r="E23" s="23"/>
      <c r="F23" s="23"/>
      <c r="G23" s="25" t="s">
        <v>153</v>
      </c>
      <c r="H23" s="23" t="s">
        <v>87</v>
      </c>
      <c r="I23" s="23" t="n">
        <v>400</v>
      </c>
      <c r="J23" s="23" t="s">
        <v>88</v>
      </c>
      <c r="K23" s="23" t="s">
        <v>95</v>
      </c>
      <c r="L23" s="23" t="n">
        <v>1</v>
      </c>
      <c r="M23" s="23" t="n">
        <v>14</v>
      </c>
      <c r="N23" s="23" t="s">
        <v>151</v>
      </c>
      <c r="O23" s="23"/>
      <c r="P23" s="23" t="s">
        <v>91</v>
      </c>
      <c r="Q23" s="25"/>
      <c r="R23" s="26" t="n">
        <f aca="false">IF(N(I23)=0,"",IF(OR(J23="mg/m²",J23="mg/m²/day"),I23*계산기!$C$14,IF(J23="mg/kg",I23*계산기!$C$6,IF(J23="AUC",I23*(계산기!$C$16+25),IF(J23="mg",I23,"")))))</f>
        <v>674.289749786149</v>
      </c>
      <c r="S23" s="26" t="n">
        <f aca="false">IF(OR(R23="",L23=""),"",R23*L23)</f>
        <v>674.289749786149</v>
      </c>
      <c r="T23" s="27"/>
      <c r="U23" s="28"/>
    </row>
    <row r="24" customFormat="false" ht="15" hidden="false" customHeight="false" outlineLevel="0" collapsed="false">
      <c r="A24" s="23"/>
      <c r="B24" s="23"/>
      <c r="C24" s="25"/>
      <c r="D24" s="25"/>
      <c r="E24" s="23"/>
      <c r="F24" s="23"/>
      <c r="G24" s="25" t="s">
        <v>154</v>
      </c>
      <c r="H24" s="23" t="s">
        <v>87</v>
      </c>
      <c r="I24" s="23" t="n">
        <v>2400</v>
      </c>
      <c r="J24" s="23" t="s">
        <v>88</v>
      </c>
      <c r="K24" s="23" t="s">
        <v>155</v>
      </c>
      <c r="L24" s="23" t="n">
        <v>1</v>
      </c>
      <c r="M24" s="23" t="n">
        <v>14</v>
      </c>
      <c r="N24" s="23" t="s">
        <v>151</v>
      </c>
      <c r="O24" s="23"/>
      <c r="P24" s="23" t="s">
        <v>91</v>
      </c>
      <c r="Q24" s="25" t="s">
        <v>156</v>
      </c>
      <c r="R24" s="26" t="n">
        <f aca="false">IF(N(I24)=0,"",IF(OR(J24="mg/m²",J24="mg/m²/day"),I24*계산기!$C$14,IF(J24="mg/kg",I24*계산기!$C$6,IF(J24="AUC",I24*(계산기!$C$16+25),IF(J24="mg",I24,"")))))</f>
        <v>4045.73849871689</v>
      </c>
      <c r="S24" s="26" t="n">
        <f aca="false">IF(OR(R24="",L24=""),"",R24*L24)</f>
        <v>4045.73849871689</v>
      </c>
      <c r="T24" s="27"/>
      <c r="U24" s="28"/>
    </row>
    <row r="25" customFormat="false" ht="15" hidden="false" customHeight="false" outlineLevel="0" collapsed="false">
      <c r="A25" s="23" t="s">
        <v>157</v>
      </c>
      <c r="B25" s="23" t="n">
        <v>3</v>
      </c>
      <c r="C25" s="24" t="s">
        <v>148</v>
      </c>
      <c r="D25" s="25" t="s">
        <v>158</v>
      </c>
      <c r="E25" s="23" t="s">
        <v>117</v>
      </c>
      <c r="F25" s="23" t="s">
        <v>85</v>
      </c>
      <c r="G25" s="25" t="s">
        <v>150</v>
      </c>
      <c r="H25" s="23" t="s">
        <v>87</v>
      </c>
      <c r="I25" s="23" t="n">
        <v>130</v>
      </c>
      <c r="J25" s="23" t="s">
        <v>88</v>
      </c>
      <c r="K25" s="23" t="s">
        <v>95</v>
      </c>
      <c r="L25" s="23" t="n">
        <v>1</v>
      </c>
      <c r="M25" s="23" t="n">
        <v>21</v>
      </c>
      <c r="N25" s="23" t="s">
        <v>90</v>
      </c>
      <c r="O25" s="23"/>
      <c r="P25" s="23" t="s">
        <v>91</v>
      </c>
      <c r="Q25" s="25"/>
      <c r="R25" s="26" t="n">
        <f aca="false">IF(N(I25)=0,"",IF(OR(J25="mg/m²",J25="mg/m²/day"),I25*계산기!$C$14,IF(J25="mg/kg",I25*계산기!$C$6,IF(J25="AUC",I25*(계산기!$C$16+25),IF(J25="mg",I25,"")))))</f>
        <v>219.144168680498</v>
      </c>
      <c r="S25" s="26" t="n">
        <f aca="false">IF(OR(R25="",L25=""),"",R25*L25)</f>
        <v>219.144168680498</v>
      </c>
      <c r="T25" s="27" t="s">
        <v>92</v>
      </c>
      <c r="U25" s="28" t="s">
        <v>93</v>
      </c>
    </row>
    <row r="26" customFormat="false" ht="15" hidden="false" customHeight="false" outlineLevel="0" collapsed="false">
      <c r="A26" s="23"/>
      <c r="B26" s="23"/>
      <c r="C26" s="25"/>
      <c r="D26" s="25"/>
      <c r="E26" s="23"/>
      <c r="F26" s="23"/>
      <c r="G26" s="25" t="s">
        <v>159</v>
      </c>
      <c r="H26" s="23" t="s">
        <v>87</v>
      </c>
      <c r="I26" s="23" t="n">
        <v>1000</v>
      </c>
      <c r="J26" s="23" t="s">
        <v>88</v>
      </c>
      <c r="K26" s="23" t="s">
        <v>160</v>
      </c>
      <c r="L26" s="23" t="n">
        <v>2</v>
      </c>
      <c r="M26" s="23" t="n">
        <v>21</v>
      </c>
      <c r="N26" s="23" t="s">
        <v>90</v>
      </c>
      <c r="O26" s="23"/>
      <c r="P26" s="23" t="s">
        <v>138</v>
      </c>
      <c r="Q26" s="25" t="s">
        <v>161</v>
      </c>
      <c r="R26" s="26" t="n">
        <f aca="false">IF(N(I26)=0,"",IF(OR(J26="mg/m²",J26="mg/m²/day"),I26*계산기!$C$14,IF(J26="mg/kg",I26*계산기!$C$6,IF(J26="AUC",I26*(계산기!$C$16+25),IF(J26="mg",I26,"")))))</f>
        <v>1685.72437446537</v>
      </c>
      <c r="S26" s="26" t="n">
        <f aca="false">IF(OR(R26="",L26=""),"",R26*L26)</f>
        <v>3371.44874893074</v>
      </c>
      <c r="T26" s="27"/>
      <c r="U26" s="28"/>
    </row>
    <row r="27" customFormat="false" ht="15" hidden="false" customHeight="false" outlineLevel="0" collapsed="false">
      <c r="A27" s="23" t="s">
        <v>162</v>
      </c>
      <c r="B27" s="23" t="n">
        <v>3</v>
      </c>
      <c r="C27" s="24" t="s">
        <v>148</v>
      </c>
      <c r="D27" s="25" t="s">
        <v>163</v>
      </c>
      <c r="E27" s="23" t="s">
        <v>99</v>
      </c>
      <c r="F27" s="23" t="s">
        <v>85</v>
      </c>
      <c r="G27" s="25" t="s">
        <v>164</v>
      </c>
      <c r="H27" s="23" t="s">
        <v>106</v>
      </c>
      <c r="I27" s="23" t="n">
        <v>6</v>
      </c>
      <c r="J27" s="23" t="s">
        <v>165</v>
      </c>
      <c r="K27" s="23" t="s">
        <v>95</v>
      </c>
      <c r="L27" s="23" t="n">
        <v>1</v>
      </c>
      <c r="M27" s="23" t="n">
        <v>21</v>
      </c>
      <c r="N27" s="23" t="s">
        <v>90</v>
      </c>
      <c r="O27" s="23"/>
      <c r="P27" s="23" t="s">
        <v>91</v>
      </c>
      <c r="Q27" s="25" t="s">
        <v>166</v>
      </c>
      <c r="R27" s="26" t="n">
        <f aca="false">IF(N(I27)=0,"",IF(OR(J27="mg/m²",J27="mg/m²/day"),I27*계산기!$C$14,IF(J27="mg/kg",I27*계산기!$C$6,IF(J27="AUC",I27*(계산기!$C$16+25),IF(J27="mg",I27,"")))))</f>
        <v>372</v>
      </c>
      <c r="S27" s="26" t="n">
        <f aca="false">IF(OR(R27="",L27=""),"",R27*L27)</f>
        <v>372</v>
      </c>
      <c r="T27" s="27" t="s">
        <v>92</v>
      </c>
      <c r="U27" s="28" t="s">
        <v>93</v>
      </c>
    </row>
    <row r="28" customFormat="false" ht="15" hidden="false" customHeight="false" outlineLevel="0" collapsed="false">
      <c r="A28" s="23"/>
      <c r="B28" s="23"/>
      <c r="C28" s="25"/>
      <c r="D28" s="25"/>
      <c r="E28" s="23"/>
      <c r="F28" s="23"/>
      <c r="G28" s="25" t="s">
        <v>159</v>
      </c>
      <c r="H28" s="23" t="s">
        <v>87</v>
      </c>
      <c r="I28" s="23" t="n">
        <v>1000</v>
      </c>
      <c r="J28" s="23" t="s">
        <v>88</v>
      </c>
      <c r="K28" s="23" t="s">
        <v>160</v>
      </c>
      <c r="L28" s="23" t="n">
        <v>2</v>
      </c>
      <c r="M28" s="23" t="n">
        <v>21</v>
      </c>
      <c r="N28" s="23" t="s">
        <v>90</v>
      </c>
      <c r="O28" s="23"/>
      <c r="P28" s="23" t="s">
        <v>138</v>
      </c>
      <c r="Q28" s="25"/>
      <c r="R28" s="26" t="n">
        <f aca="false">IF(N(I28)=0,"",IF(OR(J28="mg/m²",J28="mg/m²/day"),I28*계산기!$C$14,IF(J28="mg/kg",I28*계산기!$C$6,IF(J28="AUC",I28*(계산기!$C$16+25),IF(J28="mg",I28,"")))))</f>
        <v>1685.72437446537</v>
      </c>
      <c r="S28" s="26" t="n">
        <f aca="false">IF(OR(R28="",L28=""),"",R28*L28)</f>
        <v>3371.44874893074</v>
      </c>
      <c r="T28" s="27"/>
      <c r="U28" s="28"/>
    </row>
    <row r="29" customFormat="false" ht="15" hidden="false" customHeight="false" outlineLevel="0" collapsed="false">
      <c r="A29" s="23"/>
      <c r="B29" s="23"/>
      <c r="C29" s="25"/>
      <c r="D29" s="25"/>
      <c r="E29" s="23"/>
      <c r="F29" s="23"/>
      <c r="G29" s="25" t="s">
        <v>150</v>
      </c>
      <c r="H29" s="23" t="s">
        <v>87</v>
      </c>
      <c r="I29" s="23" t="n">
        <v>130</v>
      </c>
      <c r="J29" s="23" t="s">
        <v>88</v>
      </c>
      <c r="K29" s="23" t="s">
        <v>95</v>
      </c>
      <c r="L29" s="23" t="n">
        <v>1</v>
      </c>
      <c r="M29" s="23" t="n">
        <v>21</v>
      </c>
      <c r="N29" s="23" t="s">
        <v>90</v>
      </c>
      <c r="O29" s="23"/>
      <c r="P29" s="23" t="s">
        <v>91</v>
      </c>
      <c r="Q29" s="25"/>
      <c r="R29" s="26" t="n">
        <f aca="false">IF(N(I29)=0,"",IF(OR(J29="mg/m²",J29="mg/m²/day"),I29*계산기!$C$14,IF(J29="mg/kg",I29*계산기!$C$6,IF(J29="AUC",I29*(계산기!$C$16+25),IF(J29="mg",I29,"")))))</f>
        <v>219.144168680498</v>
      </c>
      <c r="S29" s="26" t="n">
        <f aca="false">IF(OR(R29="",L29=""),"",R29*L29)</f>
        <v>219.144168680498</v>
      </c>
      <c r="T29" s="27"/>
      <c r="U29" s="28"/>
    </row>
    <row r="30" customFormat="false" ht="15" hidden="false" customHeight="false" outlineLevel="0" collapsed="false">
      <c r="A30" s="23" t="s">
        <v>167</v>
      </c>
      <c r="B30" s="23" t="n">
        <v>3</v>
      </c>
      <c r="C30" s="24" t="s">
        <v>148</v>
      </c>
      <c r="D30" s="25" t="s">
        <v>168</v>
      </c>
      <c r="E30" s="23" t="s">
        <v>99</v>
      </c>
      <c r="F30" s="23" t="s">
        <v>169</v>
      </c>
      <c r="G30" s="25" t="s">
        <v>170</v>
      </c>
      <c r="H30" s="23" t="s">
        <v>106</v>
      </c>
      <c r="I30" s="23" t="n">
        <v>8</v>
      </c>
      <c r="J30" s="23" t="s">
        <v>165</v>
      </c>
      <c r="K30" s="23" t="s">
        <v>171</v>
      </c>
      <c r="L30" s="23" t="n">
        <v>2</v>
      </c>
      <c r="M30" s="23" t="n">
        <v>28</v>
      </c>
      <c r="N30" s="23" t="s">
        <v>172</v>
      </c>
      <c r="O30" s="23"/>
      <c r="P30" s="23" t="s">
        <v>91</v>
      </c>
      <c r="Q30" s="25"/>
      <c r="R30" s="26" t="n">
        <f aca="false">IF(N(I30)=0,"",IF(OR(J30="mg/m²",J30="mg/m²/day"),I30*계산기!$C$14,IF(J30="mg/kg",I30*계산기!$C$6,IF(J30="AUC",I30*(계산기!$C$16+25),IF(J30="mg",I30,"")))))</f>
        <v>496</v>
      </c>
      <c r="S30" s="26" t="n">
        <f aca="false">IF(OR(R30="",L30=""),"",R30*L30)</f>
        <v>992</v>
      </c>
      <c r="T30" s="27" t="s">
        <v>92</v>
      </c>
      <c r="U30" s="28" t="s">
        <v>93</v>
      </c>
    </row>
    <row r="31" customFormat="false" ht="15" hidden="false" customHeight="false" outlineLevel="0" collapsed="false">
      <c r="A31" s="23"/>
      <c r="B31" s="23"/>
      <c r="C31" s="25"/>
      <c r="D31" s="25"/>
      <c r="E31" s="23"/>
      <c r="F31" s="23"/>
      <c r="G31" s="25" t="s">
        <v>122</v>
      </c>
      <c r="H31" s="23" t="s">
        <v>87</v>
      </c>
      <c r="I31" s="23" t="n">
        <v>80</v>
      </c>
      <c r="J31" s="23" t="s">
        <v>88</v>
      </c>
      <c r="K31" s="23" t="s">
        <v>173</v>
      </c>
      <c r="L31" s="23" t="n">
        <v>3</v>
      </c>
      <c r="M31" s="23" t="n">
        <v>28</v>
      </c>
      <c r="N31" s="23" t="s">
        <v>172</v>
      </c>
      <c r="O31" s="23"/>
      <c r="P31" s="23" t="s">
        <v>91</v>
      </c>
      <c r="Q31" s="25"/>
      <c r="R31" s="26" t="n">
        <f aca="false">IF(N(I31)=0,"",IF(OR(J31="mg/m²",J31="mg/m²/day"),I31*계산기!$C$14,IF(J31="mg/kg",I31*계산기!$C$6,IF(J31="AUC",I31*(계산기!$C$16+25),IF(J31="mg",I31,"")))))</f>
        <v>134.85794995723</v>
      </c>
      <c r="S31" s="26" t="n">
        <f aca="false">IF(OR(R31="",L31=""),"",R31*L31)</f>
        <v>404.573849871689</v>
      </c>
      <c r="T31" s="27"/>
      <c r="U31" s="28"/>
    </row>
    <row r="32" customFormat="false" ht="15" hidden="false" customHeight="false" outlineLevel="0" collapsed="false">
      <c r="A32" s="23" t="s">
        <v>174</v>
      </c>
      <c r="B32" s="23" t="n">
        <v>4</v>
      </c>
      <c r="C32" s="24" t="s">
        <v>175</v>
      </c>
      <c r="D32" s="25" t="s">
        <v>176</v>
      </c>
      <c r="E32" s="23" t="s">
        <v>177</v>
      </c>
      <c r="F32" s="29" t="s">
        <v>178</v>
      </c>
      <c r="G32" s="25" t="s">
        <v>122</v>
      </c>
      <c r="H32" s="23" t="s">
        <v>87</v>
      </c>
      <c r="I32" s="23" t="n">
        <v>50</v>
      </c>
      <c r="J32" s="23" t="s">
        <v>88</v>
      </c>
      <c r="K32" s="23" t="s">
        <v>179</v>
      </c>
      <c r="L32" s="23" t="n">
        <v>5</v>
      </c>
      <c r="M32" s="23" t="n">
        <v>7</v>
      </c>
      <c r="N32" s="23" t="s">
        <v>179</v>
      </c>
      <c r="O32" s="23" t="n">
        <v>5</v>
      </c>
      <c r="P32" s="23" t="s">
        <v>91</v>
      </c>
      <c r="Q32" s="24" t="s">
        <v>180</v>
      </c>
      <c r="R32" s="26" t="n">
        <f aca="false">IF(N(I32)=0,"",IF(OR(J32="mg/m²",J32="mg/m²/day"),I32*계산기!$C$14,IF(J32="mg/kg",I32*계산기!$C$6,IF(J32="AUC",I32*(계산기!$C$16+25),IF(J32="mg",I32,"")))))</f>
        <v>84.2862187232686</v>
      </c>
      <c r="S32" s="26" t="n">
        <f aca="false">IF(OR(R32="",L32=""),"",R32*L32)</f>
        <v>421.431093616343</v>
      </c>
      <c r="T32" s="27" t="s">
        <v>92</v>
      </c>
      <c r="U32" s="28" t="s">
        <v>93</v>
      </c>
    </row>
    <row r="33" customFormat="false" ht="15" hidden="false" customHeight="false" outlineLevel="0" collapsed="false">
      <c r="A33" s="23"/>
      <c r="B33" s="23"/>
      <c r="C33" s="25"/>
      <c r="D33" s="25"/>
      <c r="E33" s="23"/>
      <c r="F33" s="23"/>
      <c r="G33" s="25" t="s">
        <v>100</v>
      </c>
      <c r="H33" s="23" t="s">
        <v>87</v>
      </c>
      <c r="I33" s="23" t="n">
        <v>2</v>
      </c>
      <c r="J33" s="23" t="s">
        <v>101</v>
      </c>
      <c r="K33" s="23" t="s">
        <v>179</v>
      </c>
      <c r="L33" s="23" t="n">
        <v>5</v>
      </c>
      <c r="M33" s="23" t="n">
        <v>7</v>
      </c>
      <c r="N33" s="23" t="s">
        <v>179</v>
      </c>
      <c r="O33" s="23" t="n">
        <v>5</v>
      </c>
      <c r="P33" s="23" t="s">
        <v>91</v>
      </c>
      <c r="Q33" s="24" t="s">
        <v>180</v>
      </c>
      <c r="R33" s="26" t="n">
        <f aca="false">IF(N(I33)=0,"",IF(OR(J33="mg/m²",J33="mg/m²/day"),I33*계산기!$C$14,IF(J33="mg/kg",I33*계산기!$C$6,IF(J33="AUC",I33*(계산기!$C$16+25),IF(J33="mg",I33,"")))))</f>
        <v>203.086419753086</v>
      </c>
      <c r="S33" s="26" t="n">
        <f aca="false">IF(OR(R33="",L33=""),"",R33*L33)</f>
        <v>1015.43209876543</v>
      </c>
      <c r="T33" s="27"/>
      <c r="U33" s="28"/>
    </row>
    <row r="34" customFormat="false" ht="15" hidden="false" customHeight="false" outlineLevel="0" collapsed="false">
      <c r="A34" s="23" t="s">
        <v>181</v>
      </c>
      <c r="B34" s="23" t="n">
        <v>4</v>
      </c>
      <c r="C34" s="24" t="s">
        <v>175</v>
      </c>
      <c r="D34" s="25" t="s">
        <v>182</v>
      </c>
      <c r="E34" s="23" t="s">
        <v>183</v>
      </c>
      <c r="F34" s="23" t="s">
        <v>85</v>
      </c>
      <c r="G34" s="25" t="s">
        <v>184</v>
      </c>
      <c r="H34" s="23" t="s">
        <v>87</v>
      </c>
      <c r="I34" s="23" t="n">
        <v>1000</v>
      </c>
      <c r="J34" s="23" t="s">
        <v>88</v>
      </c>
      <c r="K34" s="23" t="s">
        <v>185</v>
      </c>
      <c r="L34" s="23" t="n">
        <v>1</v>
      </c>
      <c r="M34" s="23" t="n">
        <v>28</v>
      </c>
      <c r="N34" s="23" t="s">
        <v>172</v>
      </c>
      <c r="O34" s="23"/>
      <c r="P34" s="23" t="s">
        <v>91</v>
      </c>
      <c r="Q34" s="24" t="s">
        <v>186</v>
      </c>
      <c r="R34" s="26" t="n">
        <f aca="false">IF(N(I34)=0,"",IF(OR(J34="mg/m²",J34="mg/m²/day"),I34*계산기!$C$14,IF(J34="mg/kg",I34*계산기!$C$6,IF(J34="AUC",I34*(계산기!$C$16+25),IF(J34="mg",I34,"")))))</f>
        <v>1685.72437446537</v>
      </c>
      <c r="S34" s="26" t="n">
        <f aca="false">IF(OR(R34="",L34=""),"",R34*L34)</f>
        <v>1685.72437446537</v>
      </c>
      <c r="T34" s="27" t="s">
        <v>92</v>
      </c>
      <c r="U34" s="28" t="s">
        <v>93</v>
      </c>
    </row>
    <row r="35" customFormat="false" ht="15" hidden="false" customHeight="false" outlineLevel="0" collapsed="false">
      <c r="A35" s="23"/>
      <c r="B35" s="23"/>
      <c r="C35" s="25"/>
      <c r="D35" s="25"/>
      <c r="E35" s="23"/>
      <c r="F35" s="23"/>
      <c r="G35" s="25" t="s">
        <v>94</v>
      </c>
      <c r="H35" s="23" t="s">
        <v>87</v>
      </c>
      <c r="I35" s="23" t="n">
        <v>75</v>
      </c>
      <c r="J35" s="23" t="s">
        <v>88</v>
      </c>
      <c r="K35" s="23" t="s">
        <v>95</v>
      </c>
      <c r="L35" s="23" t="n">
        <v>1</v>
      </c>
      <c r="M35" s="23" t="n">
        <v>28</v>
      </c>
      <c r="N35" s="23" t="s">
        <v>172</v>
      </c>
      <c r="O35" s="23"/>
      <c r="P35" s="23" t="s">
        <v>91</v>
      </c>
      <c r="Q35" s="25"/>
      <c r="R35" s="26" t="n">
        <f aca="false">IF(N(I35)=0,"",IF(OR(J35="mg/m²",J35="mg/m²/day"),I35*계산기!$C$14,IF(J35="mg/kg",I35*계산기!$C$6,IF(J35="AUC",I35*(계산기!$C$16+25),IF(J35="mg",I35,"")))))</f>
        <v>126.429328084903</v>
      </c>
      <c r="S35" s="26" t="n">
        <f aca="false">IF(OR(R35="",L35=""),"",R35*L35)</f>
        <v>126.429328084903</v>
      </c>
      <c r="T35" s="27"/>
      <c r="U35" s="28"/>
    </row>
    <row r="36" customFormat="false" ht="15" hidden="false" customHeight="false" outlineLevel="0" collapsed="false">
      <c r="A36" s="23" t="s">
        <v>187</v>
      </c>
      <c r="B36" s="23" t="n">
        <v>5</v>
      </c>
      <c r="C36" s="24" t="s">
        <v>188</v>
      </c>
      <c r="D36" s="25" t="s">
        <v>189</v>
      </c>
      <c r="E36" s="23" t="s">
        <v>99</v>
      </c>
      <c r="F36" s="23" t="s">
        <v>85</v>
      </c>
      <c r="G36" s="25" t="s">
        <v>189</v>
      </c>
      <c r="H36" s="23" t="s">
        <v>106</v>
      </c>
      <c r="I36" s="23" t="n">
        <v>24</v>
      </c>
      <c r="J36" s="23" t="s">
        <v>107</v>
      </c>
      <c r="K36" s="29" t="s">
        <v>135</v>
      </c>
      <c r="L36" s="23" t="n">
        <v>1</v>
      </c>
      <c r="M36" s="23" t="n">
        <v>1</v>
      </c>
      <c r="N36" s="23" t="s">
        <v>136</v>
      </c>
      <c r="O36" s="29" t="s">
        <v>137</v>
      </c>
      <c r="P36" s="23" t="s">
        <v>138</v>
      </c>
      <c r="Q36" s="25" t="s">
        <v>190</v>
      </c>
      <c r="R36" s="26" t="n">
        <f aca="false">IF(N(I36)=0,"",IF(OR(J36="mg/m²",J36="mg/m²/day"),I36*계산기!$C$14,IF(J36="mg/kg",I36*계산기!$C$6,IF(J36="AUC",I36*(계산기!$C$16+25),IF(J36="mg",I36,"")))))</f>
        <v>24</v>
      </c>
      <c r="S36" s="26" t="n">
        <f aca="false">IF(OR(R36="",L36=""),"",R36*L36)</f>
        <v>24</v>
      </c>
      <c r="T36" s="27" t="s">
        <v>92</v>
      </c>
      <c r="U36" s="28" t="s">
        <v>93</v>
      </c>
    </row>
    <row r="37" customFormat="false" ht="15" hidden="false" customHeight="false" outlineLevel="0" collapsed="false">
      <c r="A37" s="23" t="s">
        <v>191</v>
      </c>
      <c r="B37" s="23" t="n">
        <v>5</v>
      </c>
      <c r="C37" s="24" t="s">
        <v>188</v>
      </c>
      <c r="D37" s="25" t="s">
        <v>192</v>
      </c>
      <c r="E37" s="23" t="s">
        <v>99</v>
      </c>
      <c r="F37" s="23" t="s">
        <v>85</v>
      </c>
      <c r="G37" s="25" t="s">
        <v>192</v>
      </c>
      <c r="H37" s="23" t="s">
        <v>106</v>
      </c>
      <c r="I37" s="23" t="n">
        <v>400</v>
      </c>
      <c r="J37" s="23" t="s">
        <v>107</v>
      </c>
      <c r="K37" s="23" t="s">
        <v>145</v>
      </c>
      <c r="L37" s="23" t="n">
        <v>2</v>
      </c>
      <c r="M37" s="23" t="n">
        <v>1</v>
      </c>
      <c r="N37" s="23" t="s">
        <v>136</v>
      </c>
      <c r="O37" s="29" t="s">
        <v>137</v>
      </c>
      <c r="P37" s="23" t="s">
        <v>138</v>
      </c>
      <c r="Q37" s="25"/>
      <c r="R37" s="26" t="n">
        <f aca="false">IF(N(I37)=0,"",IF(OR(J37="mg/m²",J37="mg/m²/day"),I37*계산기!$C$14,IF(J37="mg/kg",I37*계산기!$C$6,IF(J37="AUC",I37*(계산기!$C$16+25),IF(J37="mg",I37,"")))))</f>
        <v>400</v>
      </c>
      <c r="S37" s="26" t="n">
        <f aca="false">IF(OR(R37="",L37=""),"",R37*L37)</f>
        <v>800</v>
      </c>
      <c r="T37" s="27" t="s">
        <v>92</v>
      </c>
      <c r="U37" s="28" t="s">
        <v>93</v>
      </c>
    </row>
    <row r="38" customFormat="false" ht="15" hidden="false" customHeight="false" outlineLevel="0" collapsed="false">
      <c r="A38" s="23" t="s">
        <v>193</v>
      </c>
      <c r="B38" s="23" t="n">
        <v>6</v>
      </c>
      <c r="C38" s="24" t="s">
        <v>194</v>
      </c>
      <c r="D38" s="25" t="s">
        <v>195</v>
      </c>
      <c r="E38" s="23" t="s">
        <v>117</v>
      </c>
      <c r="F38" s="23" t="s">
        <v>85</v>
      </c>
      <c r="G38" s="25" t="s">
        <v>150</v>
      </c>
      <c r="H38" s="23" t="s">
        <v>87</v>
      </c>
      <c r="I38" s="23" t="n">
        <v>85</v>
      </c>
      <c r="J38" s="23" t="s">
        <v>88</v>
      </c>
      <c r="K38" s="23" t="s">
        <v>95</v>
      </c>
      <c r="L38" s="23" t="n">
        <v>1</v>
      </c>
      <c r="M38" s="23" t="n">
        <v>14</v>
      </c>
      <c r="N38" s="23" t="s">
        <v>151</v>
      </c>
      <c r="O38" s="23"/>
      <c r="P38" s="23" t="s">
        <v>91</v>
      </c>
      <c r="Q38" s="25"/>
      <c r="R38" s="26" t="n">
        <f aca="false">IF(N(I38)=0,"",IF(OR(J38="mg/m²",J38="mg/m²/day"),I38*계산기!$C$14,IF(J38="mg/kg",I38*계산기!$C$6,IF(J38="AUC",I38*(계산기!$C$16+25),IF(J38="mg",I38,"")))))</f>
        <v>143.286571829557</v>
      </c>
      <c r="S38" s="26" t="n">
        <f aca="false">IF(OR(R38="",L38=""),"",R38*L38)</f>
        <v>143.286571829557</v>
      </c>
      <c r="T38" s="27" t="s">
        <v>92</v>
      </c>
      <c r="U38" s="28" t="s">
        <v>93</v>
      </c>
    </row>
    <row r="39" customFormat="false" ht="15" hidden="false" customHeight="false" outlineLevel="0" collapsed="false">
      <c r="A39" s="23"/>
      <c r="B39" s="23"/>
      <c r="C39" s="25"/>
      <c r="D39" s="25"/>
      <c r="E39" s="23"/>
      <c r="F39" s="23"/>
      <c r="G39" s="25" t="s">
        <v>196</v>
      </c>
      <c r="H39" s="23" t="s">
        <v>87</v>
      </c>
      <c r="I39" s="23" t="n">
        <v>180</v>
      </c>
      <c r="J39" s="23" t="s">
        <v>88</v>
      </c>
      <c r="K39" s="23" t="s">
        <v>95</v>
      </c>
      <c r="L39" s="23" t="n">
        <v>1</v>
      </c>
      <c r="M39" s="23" t="n">
        <v>14</v>
      </c>
      <c r="N39" s="23" t="s">
        <v>151</v>
      </c>
      <c r="O39" s="23"/>
      <c r="P39" s="23" t="s">
        <v>91</v>
      </c>
      <c r="Q39" s="25"/>
      <c r="R39" s="26" t="n">
        <f aca="false">IF(N(I39)=0,"",IF(OR(J39="mg/m²",J39="mg/m²/day"),I39*계산기!$C$14,IF(J39="mg/kg",I39*계산기!$C$6,IF(J39="AUC",I39*(계산기!$C$16+25),IF(J39="mg",I39,"")))))</f>
        <v>303.430387403767</v>
      </c>
      <c r="S39" s="26" t="n">
        <f aca="false">IF(OR(R39="",L39=""),"",R39*L39)</f>
        <v>303.430387403767</v>
      </c>
      <c r="T39" s="27"/>
      <c r="U39" s="28"/>
    </row>
    <row r="40" customFormat="false" ht="15" hidden="false" customHeight="false" outlineLevel="0" collapsed="false">
      <c r="A40" s="23"/>
      <c r="B40" s="23"/>
      <c r="C40" s="25"/>
      <c r="D40" s="25"/>
      <c r="E40" s="23"/>
      <c r="F40" s="23"/>
      <c r="G40" s="25" t="s">
        <v>152</v>
      </c>
      <c r="H40" s="23" t="s">
        <v>87</v>
      </c>
      <c r="I40" s="23" t="n">
        <v>400</v>
      </c>
      <c r="J40" s="23" t="s">
        <v>88</v>
      </c>
      <c r="K40" s="23" t="s">
        <v>95</v>
      </c>
      <c r="L40" s="23" t="n">
        <v>1</v>
      </c>
      <c r="M40" s="23" t="n">
        <v>14</v>
      </c>
      <c r="N40" s="23" t="s">
        <v>151</v>
      </c>
      <c r="O40" s="23"/>
      <c r="P40" s="23" t="s">
        <v>91</v>
      </c>
      <c r="Q40" s="25"/>
      <c r="R40" s="26" t="n">
        <f aca="false">IF(N(I40)=0,"",IF(OR(J40="mg/m²",J40="mg/m²/day"),I40*계산기!$C$14,IF(J40="mg/kg",I40*계산기!$C$6,IF(J40="AUC",I40*(계산기!$C$16+25),IF(J40="mg",I40,"")))))</f>
        <v>674.289749786149</v>
      </c>
      <c r="S40" s="26" t="n">
        <f aca="false">IF(OR(R40="",L40=""),"",R40*L40)</f>
        <v>674.289749786149</v>
      </c>
      <c r="T40" s="27"/>
      <c r="U40" s="28"/>
    </row>
    <row r="41" customFormat="false" ht="15" hidden="false" customHeight="false" outlineLevel="0" collapsed="false">
      <c r="A41" s="23"/>
      <c r="B41" s="23"/>
      <c r="C41" s="25"/>
      <c r="D41" s="25"/>
      <c r="E41" s="23"/>
      <c r="F41" s="23"/>
      <c r="G41" s="25" t="s">
        <v>153</v>
      </c>
      <c r="H41" s="23" t="s">
        <v>87</v>
      </c>
      <c r="I41" s="23" t="n">
        <v>400</v>
      </c>
      <c r="J41" s="23" t="s">
        <v>88</v>
      </c>
      <c r="K41" s="23" t="s">
        <v>95</v>
      </c>
      <c r="L41" s="23" t="n">
        <v>1</v>
      </c>
      <c r="M41" s="23" t="n">
        <v>14</v>
      </c>
      <c r="N41" s="23" t="s">
        <v>151</v>
      </c>
      <c r="O41" s="23"/>
      <c r="P41" s="23" t="s">
        <v>91</v>
      </c>
      <c r="Q41" s="25"/>
      <c r="R41" s="26" t="n">
        <f aca="false">IF(N(I41)=0,"",IF(OR(J41="mg/m²",J41="mg/m²/day"),I41*계산기!$C$14,IF(J41="mg/kg",I41*계산기!$C$6,IF(J41="AUC",I41*(계산기!$C$16+25),IF(J41="mg",I41,"")))))</f>
        <v>674.289749786149</v>
      </c>
      <c r="S41" s="26" t="n">
        <f aca="false">IF(OR(R41="",L41=""),"",R41*L41)</f>
        <v>674.289749786149</v>
      </c>
      <c r="T41" s="27"/>
      <c r="U41" s="28"/>
    </row>
    <row r="42" customFormat="false" ht="15" hidden="false" customHeight="false" outlineLevel="0" collapsed="false">
      <c r="A42" s="23"/>
      <c r="B42" s="23"/>
      <c r="C42" s="25"/>
      <c r="D42" s="25"/>
      <c r="E42" s="23"/>
      <c r="F42" s="23"/>
      <c r="G42" s="25" t="s">
        <v>154</v>
      </c>
      <c r="H42" s="23" t="s">
        <v>87</v>
      </c>
      <c r="I42" s="23" t="n">
        <v>2400</v>
      </c>
      <c r="J42" s="23" t="s">
        <v>88</v>
      </c>
      <c r="K42" s="23" t="s">
        <v>155</v>
      </c>
      <c r="L42" s="23" t="n">
        <v>1</v>
      </c>
      <c r="M42" s="23" t="n">
        <v>14</v>
      </c>
      <c r="N42" s="23" t="s">
        <v>151</v>
      </c>
      <c r="O42" s="23"/>
      <c r="P42" s="23" t="s">
        <v>91</v>
      </c>
      <c r="Q42" s="25" t="s">
        <v>197</v>
      </c>
      <c r="R42" s="26" t="n">
        <f aca="false">IF(N(I42)=0,"",IF(OR(J42="mg/m²",J42="mg/m²/day"),I42*계산기!$C$14,IF(J42="mg/kg",I42*계산기!$C$6,IF(J42="AUC",I42*(계산기!$C$16+25),IF(J42="mg",I42,"")))))</f>
        <v>4045.73849871689</v>
      </c>
      <c r="S42" s="26" t="n">
        <f aca="false">IF(OR(R42="",L42=""),"",R42*L42)</f>
        <v>4045.73849871689</v>
      </c>
      <c r="T42" s="27"/>
      <c r="U42" s="28"/>
    </row>
    <row r="43" customFormat="false" ht="15" hidden="false" customHeight="false" outlineLevel="0" collapsed="false">
      <c r="A43" s="23" t="s">
        <v>198</v>
      </c>
      <c r="B43" s="23" t="n">
        <v>6</v>
      </c>
      <c r="C43" s="24" t="s">
        <v>194</v>
      </c>
      <c r="D43" s="25" t="s">
        <v>199</v>
      </c>
      <c r="E43" s="23" t="s">
        <v>99</v>
      </c>
      <c r="F43" s="23" t="s">
        <v>85</v>
      </c>
      <c r="G43" s="25" t="s">
        <v>125</v>
      </c>
      <c r="H43" s="23" t="s">
        <v>87</v>
      </c>
      <c r="I43" s="23" t="n">
        <v>1000</v>
      </c>
      <c r="J43" s="23" t="s">
        <v>88</v>
      </c>
      <c r="K43" s="23" t="s">
        <v>173</v>
      </c>
      <c r="L43" s="23" t="n">
        <v>3</v>
      </c>
      <c r="M43" s="23" t="n">
        <v>28</v>
      </c>
      <c r="N43" s="23" t="s">
        <v>172</v>
      </c>
      <c r="O43" s="23"/>
      <c r="P43" s="23" t="s">
        <v>91</v>
      </c>
      <c r="Q43" s="25"/>
      <c r="R43" s="26" t="n">
        <f aca="false">IF(N(I43)=0,"",IF(OR(J43="mg/m²",J43="mg/m²/day"),I43*계산기!$C$14,IF(J43="mg/kg",I43*계산기!$C$6,IF(J43="AUC",I43*(계산기!$C$16+25),IF(J43="mg",I43,"")))))</f>
        <v>1685.72437446537</v>
      </c>
      <c r="S43" s="26" t="n">
        <f aca="false">IF(OR(R43="",L43=""),"",R43*L43)</f>
        <v>5057.17312339611</v>
      </c>
      <c r="T43" s="27" t="s">
        <v>92</v>
      </c>
      <c r="U43" s="28" t="s">
        <v>93</v>
      </c>
    </row>
    <row r="44" customFormat="false" ht="15" hidden="false" customHeight="false" outlineLevel="0" collapsed="false">
      <c r="A44" s="23"/>
      <c r="B44" s="23"/>
      <c r="C44" s="25"/>
      <c r="D44" s="25"/>
      <c r="E44" s="23"/>
      <c r="F44" s="23"/>
      <c r="G44" s="25" t="s">
        <v>200</v>
      </c>
      <c r="H44" s="23" t="s">
        <v>87</v>
      </c>
      <c r="I44" s="23" t="n">
        <v>125</v>
      </c>
      <c r="J44" s="23" t="s">
        <v>88</v>
      </c>
      <c r="K44" s="23" t="s">
        <v>173</v>
      </c>
      <c r="L44" s="23" t="n">
        <v>3</v>
      </c>
      <c r="M44" s="23" t="n">
        <v>28</v>
      </c>
      <c r="N44" s="23" t="s">
        <v>172</v>
      </c>
      <c r="O44" s="23"/>
      <c r="P44" s="23" t="s">
        <v>91</v>
      </c>
      <c r="Q44" s="25"/>
      <c r="R44" s="26" t="n">
        <f aca="false">IF(N(I44)=0,"",IF(OR(J44="mg/m²",J44="mg/m²/day"),I44*계산기!$C$14,IF(J44="mg/kg",I44*계산기!$C$6,IF(J44="AUC",I44*(계산기!$C$16+25),IF(J44="mg",I44,"")))))</f>
        <v>210.715546808171</v>
      </c>
      <c r="S44" s="26" t="n">
        <f aca="false">IF(OR(R44="",L44=""),"",R44*L44)</f>
        <v>632.146640424514</v>
      </c>
      <c r="T44" s="27"/>
      <c r="U44" s="28"/>
    </row>
    <row r="45" customFormat="false" ht="15" hidden="false" customHeight="false" outlineLevel="0" collapsed="false">
      <c r="A45" s="23" t="s">
        <v>201</v>
      </c>
      <c r="B45" s="23" t="n">
        <v>6</v>
      </c>
      <c r="C45" s="24" t="s">
        <v>194</v>
      </c>
      <c r="D45" s="25" t="s">
        <v>202</v>
      </c>
      <c r="E45" s="23" t="s">
        <v>117</v>
      </c>
      <c r="F45" s="23" t="s">
        <v>85</v>
      </c>
      <c r="G45" s="25" t="s">
        <v>125</v>
      </c>
      <c r="H45" s="23" t="s">
        <v>87</v>
      </c>
      <c r="I45" s="23" t="n">
        <v>1000</v>
      </c>
      <c r="J45" s="23" t="s">
        <v>88</v>
      </c>
      <c r="K45" s="23" t="s">
        <v>179</v>
      </c>
      <c r="L45" s="23" t="n">
        <v>1</v>
      </c>
      <c r="M45" s="23" t="n">
        <v>7</v>
      </c>
      <c r="N45" s="23" t="s">
        <v>179</v>
      </c>
      <c r="O45" s="23"/>
      <c r="P45" s="23" t="s">
        <v>91</v>
      </c>
      <c r="Q45" s="25" t="s">
        <v>203</v>
      </c>
      <c r="R45" s="26" t="n">
        <f aca="false">IF(N(I45)=0,"",IF(OR(J45="mg/m²",J45="mg/m²/day"),I45*계산기!$C$14,IF(J45="mg/kg",I45*계산기!$C$6,IF(J45="AUC",I45*(계산기!$C$16+25),IF(J45="mg",I45,"")))))</f>
        <v>1685.72437446537</v>
      </c>
      <c r="S45" s="26" t="n">
        <f aca="false">IF(OR(R45="",L45=""),"",R45*L45)</f>
        <v>1685.72437446537</v>
      </c>
      <c r="T45" s="27" t="s">
        <v>92</v>
      </c>
      <c r="U45" s="28" t="s">
        <v>93</v>
      </c>
    </row>
    <row r="46" customFormat="false" ht="15" hidden="false" customHeight="false" outlineLevel="0" collapsed="false">
      <c r="A46" s="23" t="s">
        <v>204</v>
      </c>
      <c r="B46" s="23" t="n">
        <v>7.1</v>
      </c>
      <c r="C46" s="24" t="s">
        <v>205</v>
      </c>
      <c r="D46" s="25" t="s">
        <v>206</v>
      </c>
      <c r="E46" s="23" t="s">
        <v>99</v>
      </c>
      <c r="F46" s="23" t="s">
        <v>85</v>
      </c>
      <c r="G46" s="25" t="s">
        <v>105</v>
      </c>
      <c r="H46" s="23" t="s">
        <v>106</v>
      </c>
      <c r="I46" s="23" t="n">
        <v>1200</v>
      </c>
      <c r="J46" s="23" t="s">
        <v>107</v>
      </c>
      <c r="K46" s="23" t="s">
        <v>95</v>
      </c>
      <c r="L46" s="23" t="n">
        <v>1</v>
      </c>
      <c r="M46" s="23" t="n">
        <v>21</v>
      </c>
      <c r="N46" s="23" t="s">
        <v>90</v>
      </c>
      <c r="O46" s="23"/>
      <c r="P46" s="23" t="s">
        <v>91</v>
      </c>
      <c r="Q46" s="24" t="s">
        <v>108</v>
      </c>
      <c r="R46" s="26" t="n">
        <f aca="false">IF(N(I46)=0,"",IF(OR(J46="mg/m²",J46="mg/m²/day"),I46*계산기!$C$14,IF(J46="mg/kg",I46*계산기!$C$6,IF(J46="AUC",I46*(계산기!$C$16+25),IF(J46="mg",I46,"")))))</f>
        <v>1200</v>
      </c>
      <c r="S46" s="26" t="n">
        <f aca="false">IF(OR(R46="",L46=""),"",R46*L46)</f>
        <v>1200</v>
      </c>
      <c r="T46" s="27" t="s">
        <v>92</v>
      </c>
      <c r="U46" s="28" t="s">
        <v>93</v>
      </c>
    </row>
    <row r="47" customFormat="false" ht="15" hidden="false" customHeight="false" outlineLevel="0" collapsed="false">
      <c r="A47" s="23"/>
      <c r="B47" s="23"/>
      <c r="C47" s="25"/>
      <c r="D47" s="25"/>
      <c r="E47" s="23"/>
      <c r="F47" s="23"/>
      <c r="G47" s="25" t="s">
        <v>207</v>
      </c>
      <c r="H47" s="23" t="s">
        <v>106</v>
      </c>
      <c r="I47" s="23" t="n">
        <v>15</v>
      </c>
      <c r="J47" s="23" t="s">
        <v>165</v>
      </c>
      <c r="K47" s="23" t="s">
        <v>95</v>
      </c>
      <c r="L47" s="23" t="n">
        <v>1</v>
      </c>
      <c r="M47" s="23" t="n">
        <v>21</v>
      </c>
      <c r="N47" s="23" t="s">
        <v>90</v>
      </c>
      <c r="O47" s="23"/>
      <c r="P47" s="23" t="s">
        <v>91</v>
      </c>
      <c r="Q47" s="25"/>
      <c r="R47" s="26" t="n">
        <f aca="false">IF(N(I47)=0,"",IF(OR(J47="mg/m²",J47="mg/m²/day"),I47*계산기!$C$14,IF(J47="mg/kg",I47*계산기!$C$6,IF(J47="AUC",I47*(계산기!$C$16+25),IF(J47="mg",I47,"")))))</f>
        <v>930</v>
      </c>
      <c r="S47" s="26" t="n">
        <f aca="false">IF(OR(R47="",L47=""),"",R47*L47)</f>
        <v>930</v>
      </c>
      <c r="T47" s="27"/>
      <c r="U47" s="28"/>
    </row>
    <row r="48" customFormat="false" ht="15" hidden="false" customHeight="false" outlineLevel="0" collapsed="false">
      <c r="A48" s="23" t="s">
        <v>208</v>
      </c>
      <c r="B48" s="23" t="n">
        <v>7.1</v>
      </c>
      <c r="C48" s="24" t="s">
        <v>205</v>
      </c>
      <c r="D48" s="25" t="s">
        <v>192</v>
      </c>
      <c r="E48" s="23" t="s">
        <v>99</v>
      </c>
      <c r="F48" s="23" t="s">
        <v>85</v>
      </c>
      <c r="G48" s="25" t="s">
        <v>192</v>
      </c>
      <c r="H48" s="23" t="s">
        <v>106</v>
      </c>
      <c r="I48" s="23" t="n">
        <v>400</v>
      </c>
      <c r="J48" s="23" t="s">
        <v>107</v>
      </c>
      <c r="K48" s="23" t="s">
        <v>145</v>
      </c>
      <c r="L48" s="23" t="n">
        <v>2</v>
      </c>
      <c r="M48" s="23" t="n">
        <v>1</v>
      </c>
      <c r="N48" s="23" t="s">
        <v>136</v>
      </c>
      <c r="O48" s="29" t="s">
        <v>137</v>
      </c>
      <c r="P48" s="23" t="s">
        <v>138</v>
      </c>
      <c r="Q48" s="25"/>
      <c r="R48" s="26" t="n">
        <f aca="false">IF(N(I48)=0,"",IF(OR(J48="mg/m²",J48="mg/m²/day"),I48*계산기!$C$14,IF(J48="mg/kg",I48*계산기!$C$6,IF(J48="AUC",I48*(계산기!$C$16+25),IF(J48="mg",I48,"")))))</f>
        <v>400</v>
      </c>
      <c r="S48" s="26" t="n">
        <f aca="false">IF(OR(R48="",L48=""),"",R48*L48)</f>
        <v>800</v>
      </c>
      <c r="T48" s="27" t="s">
        <v>92</v>
      </c>
      <c r="U48" s="28" t="s">
        <v>93</v>
      </c>
    </row>
    <row r="49" customFormat="false" ht="15" hidden="false" customHeight="false" outlineLevel="0" collapsed="false">
      <c r="A49" s="23" t="s">
        <v>209</v>
      </c>
      <c r="B49" s="23" t="n">
        <v>7.1</v>
      </c>
      <c r="C49" s="24" t="s">
        <v>205</v>
      </c>
      <c r="D49" s="25" t="s">
        <v>189</v>
      </c>
      <c r="E49" s="23" t="s">
        <v>99</v>
      </c>
      <c r="F49" s="23" t="s">
        <v>85</v>
      </c>
      <c r="G49" s="25" t="s">
        <v>189</v>
      </c>
      <c r="H49" s="23" t="s">
        <v>106</v>
      </c>
      <c r="I49" s="23" t="n">
        <v>12</v>
      </c>
      <c r="J49" s="23" t="s">
        <v>107</v>
      </c>
      <c r="K49" s="29" t="s">
        <v>135</v>
      </c>
      <c r="L49" s="23" t="n">
        <v>1</v>
      </c>
      <c r="M49" s="23" t="n">
        <v>1</v>
      </c>
      <c r="N49" s="23" t="s">
        <v>136</v>
      </c>
      <c r="O49" s="29" t="s">
        <v>137</v>
      </c>
      <c r="P49" s="23" t="s">
        <v>138</v>
      </c>
      <c r="Q49" s="25" t="s">
        <v>210</v>
      </c>
      <c r="R49" s="26" t="n">
        <f aca="false">IF(N(I49)=0,"",IF(OR(J49="mg/m²",J49="mg/m²/day"),I49*계산기!$C$14,IF(J49="mg/kg",I49*계산기!$C$6,IF(J49="AUC",I49*(계산기!$C$16+25),IF(J49="mg",I49,"")))))</f>
        <v>12</v>
      </c>
      <c r="S49" s="26" t="n">
        <f aca="false">IF(OR(R49="",L49=""),"",R49*L49)</f>
        <v>12</v>
      </c>
      <c r="T49" s="27" t="s">
        <v>92</v>
      </c>
      <c r="U49" s="28" t="s">
        <v>93</v>
      </c>
    </row>
    <row r="50" customFormat="false" ht="26.85" hidden="false" customHeight="false" outlineLevel="0" collapsed="false">
      <c r="A50" s="23" t="s">
        <v>211</v>
      </c>
      <c r="B50" s="23" t="n">
        <v>7.1</v>
      </c>
      <c r="C50" s="24" t="s">
        <v>205</v>
      </c>
      <c r="D50" s="25" t="s">
        <v>212</v>
      </c>
      <c r="E50" s="23" t="s">
        <v>99</v>
      </c>
      <c r="F50" s="23" t="s">
        <v>169</v>
      </c>
      <c r="G50" s="25" t="s">
        <v>212</v>
      </c>
      <c r="H50" s="23" t="s">
        <v>106</v>
      </c>
      <c r="I50" s="23" t="n">
        <v>160</v>
      </c>
      <c r="J50" s="23" t="s">
        <v>107</v>
      </c>
      <c r="K50" s="23" t="s">
        <v>213</v>
      </c>
      <c r="L50" s="23" t="n">
        <v>1</v>
      </c>
      <c r="M50" s="23" t="n">
        <v>28</v>
      </c>
      <c r="N50" s="23" t="s">
        <v>214</v>
      </c>
      <c r="O50" s="23"/>
      <c r="P50" s="23" t="s">
        <v>138</v>
      </c>
      <c r="Q50" s="25"/>
      <c r="R50" s="26" t="n">
        <f aca="false">IF(N(I50)=0,"",IF(OR(J50="mg/m²",J50="mg/m²/day"),I50*계산기!$C$14,IF(J50="mg/kg",I50*계산기!$C$6,IF(J50="AUC",I50*(계산기!$C$16+25),IF(J50="mg",I50,"")))))</f>
        <v>160</v>
      </c>
      <c r="S50" s="26" t="n">
        <f aca="false">IF(OR(R50="",L50=""),"",R50*L50)</f>
        <v>160</v>
      </c>
      <c r="T50" s="27" t="s">
        <v>92</v>
      </c>
      <c r="U50" s="28" t="s">
        <v>93</v>
      </c>
    </row>
    <row r="51" customFormat="false" ht="15" hidden="false" customHeight="false" outlineLevel="0" collapsed="false">
      <c r="A51" s="23" t="s">
        <v>215</v>
      </c>
      <c r="B51" s="23" t="n">
        <v>7.2</v>
      </c>
      <c r="C51" s="24" t="s">
        <v>216</v>
      </c>
      <c r="D51" s="25" t="s">
        <v>124</v>
      </c>
      <c r="E51" s="23" t="s">
        <v>99</v>
      </c>
      <c r="F51" s="23" t="s">
        <v>85</v>
      </c>
      <c r="G51" s="25" t="s">
        <v>125</v>
      </c>
      <c r="H51" s="23" t="s">
        <v>87</v>
      </c>
      <c r="I51" s="23" t="n">
        <v>1000</v>
      </c>
      <c r="J51" s="23" t="s">
        <v>88</v>
      </c>
      <c r="K51" s="23" t="s">
        <v>126</v>
      </c>
      <c r="L51" s="23" t="n">
        <v>2</v>
      </c>
      <c r="M51" s="23" t="n">
        <v>21</v>
      </c>
      <c r="N51" s="23" t="s">
        <v>90</v>
      </c>
      <c r="O51" s="23"/>
      <c r="P51" s="23" t="s">
        <v>91</v>
      </c>
      <c r="Q51" s="25"/>
      <c r="R51" s="26" t="n">
        <f aca="false">IF(N(I51)=0,"",IF(OR(J51="mg/m²",J51="mg/m²/day"),I51*계산기!$C$14,IF(J51="mg/kg",I51*계산기!$C$6,IF(J51="AUC",I51*(계산기!$C$16+25),IF(J51="mg",I51,"")))))</f>
        <v>1685.72437446537</v>
      </c>
      <c r="S51" s="26" t="n">
        <f aca="false">IF(OR(R51="",L51=""),"",R51*L51)</f>
        <v>3371.44874893074</v>
      </c>
      <c r="T51" s="27" t="s">
        <v>92</v>
      </c>
      <c r="U51" s="28" t="s">
        <v>93</v>
      </c>
    </row>
    <row r="52" customFormat="false" ht="15" hidden="false" customHeight="false" outlineLevel="0" collapsed="false">
      <c r="A52" s="23"/>
      <c r="B52" s="23"/>
      <c r="C52" s="25"/>
      <c r="D52" s="25"/>
      <c r="E52" s="23"/>
      <c r="F52" s="23"/>
      <c r="G52" s="25" t="s">
        <v>94</v>
      </c>
      <c r="H52" s="23" t="s">
        <v>87</v>
      </c>
      <c r="I52" s="23" t="n">
        <v>25</v>
      </c>
      <c r="J52" s="23" t="s">
        <v>88</v>
      </c>
      <c r="K52" s="23" t="s">
        <v>126</v>
      </c>
      <c r="L52" s="23" t="n">
        <v>2</v>
      </c>
      <c r="M52" s="23" t="n">
        <v>21</v>
      </c>
      <c r="N52" s="23" t="s">
        <v>90</v>
      </c>
      <c r="O52" s="23"/>
      <c r="P52" s="23" t="s">
        <v>91</v>
      </c>
      <c r="Q52" s="25"/>
      <c r="R52" s="26" t="n">
        <f aca="false">IF(N(I52)=0,"",IF(OR(J52="mg/m²",J52="mg/m²/day"),I52*계산기!$C$14,IF(J52="mg/kg",I52*계산기!$C$6,IF(J52="AUC",I52*(계산기!$C$16+25),IF(J52="mg",I52,"")))))</f>
        <v>42.1431093616343</v>
      </c>
      <c r="S52" s="26" t="n">
        <f aca="false">IF(OR(R52="",L52=""),"",R52*L52)</f>
        <v>84.2862187232686</v>
      </c>
      <c r="T52" s="27"/>
      <c r="U52" s="28"/>
    </row>
    <row r="53" customFormat="false" ht="22.35" hidden="false" customHeight="false" outlineLevel="0" collapsed="false">
      <c r="A53" s="23" t="s">
        <v>217</v>
      </c>
      <c r="B53" s="23" t="n">
        <v>7.2</v>
      </c>
      <c r="C53" s="24" t="s">
        <v>216</v>
      </c>
      <c r="D53" s="25" t="s">
        <v>218</v>
      </c>
      <c r="E53" s="23" t="s">
        <v>99</v>
      </c>
      <c r="F53" s="23" t="s">
        <v>85</v>
      </c>
      <c r="G53" s="25" t="s">
        <v>219</v>
      </c>
      <c r="H53" s="23" t="s">
        <v>106</v>
      </c>
      <c r="I53" s="23" t="n">
        <v>1500</v>
      </c>
      <c r="J53" s="23" t="s">
        <v>107</v>
      </c>
      <c r="K53" s="23" t="s">
        <v>95</v>
      </c>
      <c r="L53" s="23" t="n">
        <v>1</v>
      </c>
      <c r="M53" s="23" t="n">
        <v>21</v>
      </c>
      <c r="N53" s="23" t="s">
        <v>90</v>
      </c>
      <c r="O53" s="23"/>
      <c r="P53" s="23" t="s">
        <v>91</v>
      </c>
      <c r="Q53" s="24" t="s">
        <v>108</v>
      </c>
      <c r="R53" s="26" t="n">
        <f aca="false">IF(N(I53)=0,"",IF(OR(J53="mg/m²",J53="mg/m²/day"),I53*계산기!$C$14,IF(J53="mg/kg",I53*계산기!$C$6,IF(J53="AUC",I53*(계산기!$C$16+25),IF(J53="mg",I53,"")))))</f>
        <v>1500</v>
      </c>
      <c r="S53" s="26" t="n">
        <f aca="false">IF(OR(R53="",L53=""),"",R53*L53)</f>
        <v>1500</v>
      </c>
      <c r="T53" s="27" t="s">
        <v>92</v>
      </c>
      <c r="U53" s="28" t="s">
        <v>93</v>
      </c>
    </row>
    <row r="54" customFormat="false" ht="15" hidden="false" customHeight="false" outlineLevel="0" collapsed="false">
      <c r="A54" s="23"/>
      <c r="B54" s="23"/>
      <c r="C54" s="25"/>
      <c r="D54" s="25"/>
      <c r="E54" s="23"/>
      <c r="F54" s="23"/>
      <c r="G54" s="25" t="s">
        <v>125</v>
      </c>
      <c r="H54" s="23" t="s">
        <v>87</v>
      </c>
      <c r="I54" s="23" t="n">
        <v>1000</v>
      </c>
      <c r="J54" s="23" t="s">
        <v>88</v>
      </c>
      <c r="K54" s="23" t="s">
        <v>126</v>
      </c>
      <c r="L54" s="23" t="n">
        <v>2</v>
      </c>
      <c r="M54" s="23" t="n">
        <v>21</v>
      </c>
      <c r="N54" s="23" t="s">
        <v>90</v>
      </c>
      <c r="O54" s="23"/>
      <c r="P54" s="23" t="s">
        <v>91</v>
      </c>
      <c r="Q54" s="25"/>
      <c r="R54" s="26" t="n">
        <f aca="false">IF(N(I54)=0,"",IF(OR(J54="mg/m²",J54="mg/m²/day"),I54*계산기!$C$14,IF(J54="mg/kg",I54*계산기!$C$6,IF(J54="AUC",I54*(계산기!$C$16+25),IF(J54="mg",I54,"")))))</f>
        <v>1685.72437446537</v>
      </c>
      <c r="S54" s="26" t="n">
        <f aca="false">IF(OR(R54="",L54=""),"",R54*L54)</f>
        <v>3371.44874893074</v>
      </c>
      <c r="T54" s="27"/>
      <c r="U54" s="28"/>
    </row>
    <row r="55" customFormat="false" ht="15" hidden="false" customHeight="false" outlineLevel="0" collapsed="false">
      <c r="A55" s="23"/>
      <c r="B55" s="23"/>
      <c r="C55" s="25"/>
      <c r="D55" s="25"/>
      <c r="E55" s="23"/>
      <c r="F55" s="23"/>
      <c r="G55" s="25" t="s">
        <v>94</v>
      </c>
      <c r="H55" s="23" t="s">
        <v>87</v>
      </c>
      <c r="I55" s="23" t="n">
        <v>25</v>
      </c>
      <c r="J55" s="23" t="s">
        <v>88</v>
      </c>
      <c r="K55" s="23" t="s">
        <v>126</v>
      </c>
      <c r="L55" s="23" t="n">
        <v>2</v>
      </c>
      <c r="M55" s="23" t="n">
        <v>21</v>
      </c>
      <c r="N55" s="23" t="s">
        <v>90</v>
      </c>
      <c r="O55" s="23"/>
      <c r="P55" s="23" t="s">
        <v>91</v>
      </c>
      <c r="Q55" s="25"/>
      <c r="R55" s="26" t="n">
        <f aca="false">IF(N(I55)=0,"",IF(OR(J55="mg/m²",J55="mg/m²/day"),I55*계산기!$C$14,IF(J55="mg/kg",I55*계산기!$C$6,IF(J55="AUC",I55*(계산기!$C$16+25),IF(J55="mg",I55,"")))))</f>
        <v>42.1431093616343</v>
      </c>
      <c r="S55" s="26" t="n">
        <f aca="false">IF(OR(R55="",L55=""),"",R55*L55)</f>
        <v>84.2862187232686</v>
      </c>
      <c r="T55" s="27"/>
      <c r="U55" s="28"/>
    </row>
    <row r="56" customFormat="false" ht="26.85" hidden="false" customHeight="false" outlineLevel="0" collapsed="false">
      <c r="A56" s="23" t="s">
        <v>220</v>
      </c>
      <c r="B56" s="23" t="n">
        <v>7.2</v>
      </c>
      <c r="C56" s="24" t="s">
        <v>216</v>
      </c>
      <c r="D56" s="25" t="s">
        <v>221</v>
      </c>
      <c r="E56" s="23" t="s">
        <v>99</v>
      </c>
      <c r="F56" s="23" t="s">
        <v>112</v>
      </c>
      <c r="G56" s="25" t="s">
        <v>221</v>
      </c>
      <c r="H56" s="23" t="s">
        <v>106</v>
      </c>
      <c r="I56" s="23" t="n">
        <v>13.5</v>
      </c>
      <c r="J56" s="23" t="s">
        <v>107</v>
      </c>
      <c r="K56" s="23" t="s">
        <v>222</v>
      </c>
      <c r="L56" s="23" t="n">
        <v>1</v>
      </c>
      <c r="M56" s="23" t="n">
        <v>21</v>
      </c>
      <c r="N56" s="23" t="s">
        <v>223</v>
      </c>
      <c r="O56" s="23"/>
      <c r="P56" s="23" t="s">
        <v>138</v>
      </c>
      <c r="Q56" s="25" t="s">
        <v>224</v>
      </c>
      <c r="R56" s="26" t="n">
        <f aca="false">IF(N(I56)=0,"",IF(OR(J56="mg/m²",J56="mg/m²/day"),I56*계산기!$C$14,IF(J56="mg/kg",I56*계산기!$C$6,IF(J56="AUC",I56*(계산기!$C$16+25),IF(J56="mg",I56,"")))))</f>
        <v>13.5</v>
      </c>
      <c r="S56" s="26" t="n">
        <f aca="false">IF(OR(R56="",L56=""),"",R56*L56)</f>
        <v>13.5</v>
      </c>
      <c r="T56" s="27" t="s">
        <v>92</v>
      </c>
      <c r="U56" s="28" t="s">
        <v>93</v>
      </c>
    </row>
    <row r="57" customFormat="false" ht="15" hidden="false" customHeight="false" outlineLevel="0" collapsed="false">
      <c r="A57" s="23" t="s">
        <v>225</v>
      </c>
      <c r="B57" s="23" t="n">
        <v>8</v>
      </c>
      <c r="C57" s="24" t="s">
        <v>226</v>
      </c>
      <c r="D57" s="25" t="s">
        <v>149</v>
      </c>
      <c r="E57" s="23" t="s">
        <v>117</v>
      </c>
      <c r="F57" s="23" t="s">
        <v>85</v>
      </c>
      <c r="G57" s="25" t="s">
        <v>150</v>
      </c>
      <c r="H57" s="23" t="s">
        <v>87</v>
      </c>
      <c r="I57" s="23" t="n">
        <v>85</v>
      </c>
      <c r="J57" s="23" t="s">
        <v>88</v>
      </c>
      <c r="K57" s="23" t="s">
        <v>95</v>
      </c>
      <c r="L57" s="23" t="n">
        <v>1</v>
      </c>
      <c r="M57" s="23" t="n">
        <v>14</v>
      </c>
      <c r="N57" s="23" t="s">
        <v>151</v>
      </c>
      <c r="O57" s="23"/>
      <c r="P57" s="23" t="s">
        <v>91</v>
      </c>
      <c r="Q57" s="25"/>
      <c r="R57" s="26" t="n">
        <f aca="false">IF(N(I57)=0,"",IF(OR(J57="mg/m²",J57="mg/m²/day"),I57*계산기!$C$14,IF(J57="mg/kg",I57*계산기!$C$6,IF(J57="AUC",I57*(계산기!$C$16+25),IF(J57="mg",I57,"")))))</f>
        <v>143.286571829557</v>
      </c>
      <c r="S57" s="26" t="n">
        <f aca="false">IF(OR(R57="",L57=""),"",R57*L57)</f>
        <v>143.286571829557</v>
      </c>
      <c r="T57" s="27" t="s">
        <v>92</v>
      </c>
      <c r="U57" s="28" t="s">
        <v>93</v>
      </c>
    </row>
    <row r="58" customFormat="false" ht="15" hidden="false" customHeight="false" outlineLevel="0" collapsed="false">
      <c r="A58" s="23"/>
      <c r="B58" s="23"/>
      <c r="C58" s="25"/>
      <c r="D58" s="25"/>
      <c r="E58" s="23"/>
      <c r="F58" s="23"/>
      <c r="G58" s="25" t="s">
        <v>152</v>
      </c>
      <c r="H58" s="23" t="s">
        <v>87</v>
      </c>
      <c r="I58" s="23" t="n">
        <v>400</v>
      </c>
      <c r="J58" s="23" t="s">
        <v>88</v>
      </c>
      <c r="K58" s="23" t="s">
        <v>95</v>
      </c>
      <c r="L58" s="23" t="n">
        <v>1</v>
      </c>
      <c r="M58" s="23" t="n">
        <v>14</v>
      </c>
      <c r="N58" s="23" t="s">
        <v>151</v>
      </c>
      <c r="O58" s="23"/>
      <c r="P58" s="23" t="s">
        <v>91</v>
      </c>
      <c r="Q58" s="25"/>
      <c r="R58" s="26" t="n">
        <f aca="false">IF(N(I58)=0,"",IF(OR(J58="mg/m²",J58="mg/m²/day"),I58*계산기!$C$14,IF(J58="mg/kg",I58*계산기!$C$6,IF(J58="AUC",I58*(계산기!$C$16+25),IF(J58="mg",I58,"")))))</f>
        <v>674.289749786149</v>
      </c>
      <c r="S58" s="26" t="n">
        <f aca="false">IF(OR(R58="",L58=""),"",R58*L58)</f>
        <v>674.289749786149</v>
      </c>
      <c r="T58" s="27"/>
      <c r="U58" s="28"/>
    </row>
    <row r="59" customFormat="false" ht="15" hidden="false" customHeight="false" outlineLevel="0" collapsed="false">
      <c r="A59" s="23"/>
      <c r="B59" s="23"/>
      <c r="C59" s="25"/>
      <c r="D59" s="25"/>
      <c r="E59" s="23"/>
      <c r="F59" s="23"/>
      <c r="G59" s="25" t="s">
        <v>153</v>
      </c>
      <c r="H59" s="23" t="s">
        <v>87</v>
      </c>
      <c r="I59" s="23" t="n">
        <v>400</v>
      </c>
      <c r="J59" s="23" t="s">
        <v>88</v>
      </c>
      <c r="K59" s="23" t="s">
        <v>95</v>
      </c>
      <c r="L59" s="23" t="n">
        <v>1</v>
      </c>
      <c r="M59" s="23" t="n">
        <v>14</v>
      </c>
      <c r="N59" s="23" t="s">
        <v>151</v>
      </c>
      <c r="O59" s="23"/>
      <c r="P59" s="23" t="s">
        <v>91</v>
      </c>
      <c r="Q59" s="25"/>
      <c r="R59" s="26" t="n">
        <f aca="false">IF(N(I59)=0,"",IF(OR(J59="mg/m²",J59="mg/m²/day"),I59*계산기!$C$14,IF(J59="mg/kg",I59*계산기!$C$6,IF(J59="AUC",I59*(계산기!$C$16+25),IF(J59="mg",I59,"")))))</f>
        <v>674.289749786149</v>
      </c>
      <c r="S59" s="26" t="n">
        <f aca="false">IF(OR(R59="",L59=""),"",R59*L59)</f>
        <v>674.289749786149</v>
      </c>
      <c r="T59" s="27"/>
      <c r="U59" s="28"/>
    </row>
    <row r="60" customFormat="false" ht="15" hidden="false" customHeight="false" outlineLevel="0" collapsed="false">
      <c r="A60" s="23"/>
      <c r="B60" s="23"/>
      <c r="C60" s="25"/>
      <c r="D60" s="25"/>
      <c r="E60" s="23"/>
      <c r="F60" s="23"/>
      <c r="G60" s="25" t="s">
        <v>154</v>
      </c>
      <c r="H60" s="23" t="s">
        <v>87</v>
      </c>
      <c r="I60" s="23" t="n">
        <v>2400</v>
      </c>
      <c r="J60" s="23" t="s">
        <v>88</v>
      </c>
      <c r="K60" s="23" t="s">
        <v>155</v>
      </c>
      <c r="L60" s="23" t="n">
        <v>1</v>
      </c>
      <c r="M60" s="23" t="n">
        <v>14</v>
      </c>
      <c r="N60" s="23" t="s">
        <v>151</v>
      </c>
      <c r="O60" s="23"/>
      <c r="P60" s="23" t="s">
        <v>91</v>
      </c>
      <c r="Q60" s="25" t="s">
        <v>197</v>
      </c>
      <c r="R60" s="26" t="n">
        <f aca="false">IF(N(I60)=0,"",IF(OR(J60="mg/m²",J60="mg/m²/day"),I60*계산기!$C$14,IF(J60="mg/kg",I60*계산기!$C$6,IF(J60="AUC",I60*(계산기!$C$16+25),IF(J60="mg",I60,"")))))</f>
        <v>4045.73849871689</v>
      </c>
      <c r="S60" s="26" t="n">
        <f aca="false">IF(OR(R60="",L60=""),"",R60*L60)</f>
        <v>4045.73849871689</v>
      </c>
      <c r="T60" s="27"/>
      <c r="U60" s="28"/>
    </row>
    <row r="61" customFormat="false" ht="15" hidden="false" customHeight="false" outlineLevel="0" collapsed="false">
      <c r="A61" s="23" t="s">
        <v>227</v>
      </c>
      <c r="B61" s="23" t="n">
        <v>8</v>
      </c>
      <c r="C61" s="24" t="s">
        <v>226</v>
      </c>
      <c r="D61" s="25" t="s">
        <v>228</v>
      </c>
      <c r="E61" s="23" t="s">
        <v>99</v>
      </c>
      <c r="F61" s="23" t="s">
        <v>142</v>
      </c>
      <c r="G61" s="25" t="s">
        <v>196</v>
      </c>
      <c r="H61" s="23" t="s">
        <v>87</v>
      </c>
      <c r="I61" s="23" t="n">
        <v>180</v>
      </c>
      <c r="J61" s="23" t="s">
        <v>88</v>
      </c>
      <c r="K61" s="23" t="s">
        <v>95</v>
      </c>
      <c r="L61" s="23" t="n">
        <v>1</v>
      </c>
      <c r="M61" s="23" t="n">
        <v>14</v>
      </c>
      <c r="N61" s="23" t="s">
        <v>151</v>
      </c>
      <c r="O61" s="23"/>
      <c r="P61" s="23" t="s">
        <v>91</v>
      </c>
      <c r="Q61" s="25"/>
      <c r="R61" s="26" t="n">
        <f aca="false">IF(N(I61)=0,"",IF(OR(J61="mg/m²",J61="mg/m²/day"),I61*계산기!$C$14,IF(J61="mg/kg",I61*계산기!$C$6,IF(J61="AUC",I61*(계산기!$C$16+25),IF(J61="mg",I61,"")))))</f>
        <v>303.430387403767</v>
      </c>
      <c r="S61" s="26" t="n">
        <f aca="false">IF(OR(R61="",L61=""),"",R61*L61)</f>
        <v>303.430387403767</v>
      </c>
      <c r="T61" s="27" t="s">
        <v>92</v>
      </c>
      <c r="U61" s="28" t="s">
        <v>93</v>
      </c>
    </row>
    <row r="62" customFormat="false" ht="15" hidden="false" customHeight="false" outlineLevel="0" collapsed="false">
      <c r="A62" s="23"/>
      <c r="B62" s="23"/>
      <c r="C62" s="25"/>
      <c r="D62" s="25"/>
      <c r="E62" s="23"/>
      <c r="F62" s="23"/>
      <c r="G62" s="25" t="s">
        <v>152</v>
      </c>
      <c r="H62" s="23" t="s">
        <v>87</v>
      </c>
      <c r="I62" s="23" t="n">
        <v>400</v>
      </c>
      <c r="J62" s="23" t="s">
        <v>88</v>
      </c>
      <c r="K62" s="23" t="s">
        <v>95</v>
      </c>
      <c r="L62" s="23" t="n">
        <v>1</v>
      </c>
      <c r="M62" s="23" t="n">
        <v>14</v>
      </c>
      <c r="N62" s="23" t="s">
        <v>151</v>
      </c>
      <c r="O62" s="23"/>
      <c r="P62" s="23" t="s">
        <v>91</v>
      </c>
      <c r="Q62" s="25"/>
      <c r="R62" s="26" t="n">
        <f aca="false">IF(N(I62)=0,"",IF(OR(J62="mg/m²",J62="mg/m²/day"),I62*계산기!$C$14,IF(J62="mg/kg",I62*계산기!$C$6,IF(J62="AUC",I62*(계산기!$C$16+25),IF(J62="mg",I62,"")))))</f>
        <v>674.289749786149</v>
      </c>
      <c r="S62" s="26" t="n">
        <f aca="false">IF(OR(R62="",L62=""),"",R62*L62)</f>
        <v>674.289749786149</v>
      </c>
      <c r="T62" s="27"/>
      <c r="U62" s="28"/>
    </row>
    <row r="63" customFormat="false" ht="15" hidden="false" customHeight="false" outlineLevel="0" collapsed="false">
      <c r="A63" s="23"/>
      <c r="B63" s="23"/>
      <c r="C63" s="25"/>
      <c r="D63" s="25"/>
      <c r="E63" s="23"/>
      <c r="F63" s="23"/>
      <c r="G63" s="25" t="s">
        <v>153</v>
      </c>
      <c r="H63" s="23" t="s">
        <v>87</v>
      </c>
      <c r="I63" s="23" t="n">
        <v>400</v>
      </c>
      <c r="J63" s="23" t="s">
        <v>88</v>
      </c>
      <c r="K63" s="23" t="s">
        <v>95</v>
      </c>
      <c r="L63" s="23" t="n">
        <v>1</v>
      </c>
      <c r="M63" s="23" t="n">
        <v>14</v>
      </c>
      <c r="N63" s="23" t="s">
        <v>151</v>
      </c>
      <c r="O63" s="23"/>
      <c r="P63" s="23" t="s">
        <v>91</v>
      </c>
      <c r="Q63" s="25"/>
      <c r="R63" s="26" t="n">
        <f aca="false">IF(N(I63)=0,"",IF(OR(J63="mg/m²",J63="mg/m²/day"),I63*계산기!$C$14,IF(J63="mg/kg",I63*계산기!$C$6,IF(J63="AUC",I63*(계산기!$C$16+25),IF(J63="mg",I63,"")))))</f>
        <v>674.289749786149</v>
      </c>
      <c r="S63" s="26" t="n">
        <f aca="false">IF(OR(R63="",L63=""),"",R63*L63)</f>
        <v>674.289749786149</v>
      </c>
      <c r="T63" s="27"/>
      <c r="U63" s="28"/>
    </row>
    <row r="64" customFormat="false" ht="15" hidden="false" customHeight="false" outlineLevel="0" collapsed="false">
      <c r="A64" s="23"/>
      <c r="B64" s="23"/>
      <c r="C64" s="25"/>
      <c r="D64" s="25"/>
      <c r="E64" s="23"/>
      <c r="F64" s="23"/>
      <c r="G64" s="25" t="s">
        <v>154</v>
      </c>
      <c r="H64" s="23" t="s">
        <v>87</v>
      </c>
      <c r="I64" s="23" t="n">
        <v>2400</v>
      </c>
      <c r="J64" s="23" t="s">
        <v>88</v>
      </c>
      <c r="K64" s="23" t="s">
        <v>155</v>
      </c>
      <c r="L64" s="23" t="n">
        <v>1</v>
      </c>
      <c r="M64" s="23" t="n">
        <v>14</v>
      </c>
      <c r="N64" s="23" t="s">
        <v>151</v>
      </c>
      <c r="O64" s="23"/>
      <c r="P64" s="23" t="s">
        <v>91</v>
      </c>
      <c r="Q64" s="25" t="s">
        <v>197</v>
      </c>
      <c r="R64" s="26" t="n">
        <f aca="false">IF(N(I64)=0,"",IF(OR(J64="mg/m²",J64="mg/m²/day"),I64*계산기!$C$14,IF(J64="mg/kg",I64*계산기!$C$6,IF(J64="AUC",I64*(계산기!$C$16+25),IF(J64="mg",I64,"")))))</f>
        <v>4045.73849871689</v>
      </c>
      <c r="S64" s="26" t="n">
        <f aca="false">IF(OR(R64="",L64=""),"",R64*L64)</f>
        <v>4045.73849871689</v>
      </c>
      <c r="T64" s="27"/>
      <c r="U64" s="28"/>
    </row>
    <row r="65" customFormat="false" ht="15" hidden="false" customHeight="false" outlineLevel="0" collapsed="false">
      <c r="A65" s="23" t="s">
        <v>229</v>
      </c>
      <c r="B65" s="23" t="n">
        <v>8</v>
      </c>
      <c r="C65" s="24" t="s">
        <v>226</v>
      </c>
      <c r="D65" s="25" t="s">
        <v>230</v>
      </c>
      <c r="E65" s="23" t="s">
        <v>99</v>
      </c>
      <c r="F65" s="23" t="s">
        <v>85</v>
      </c>
      <c r="G65" s="25" t="s">
        <v>207</v>
      </c>
      <c r="H65" s="23" t="s">
        <v>106</v>
      </c>
      <c r="I65" s="23" t="n">
        <v>5</v>
      </c>
      <c r="J65" s="23" t="s">
        <v>165</v>
      </c>
      <c r="K65" s="23" t="s">
        <v>95</v>
      </c>
      <c r="L65" s="23" t="n">
        <v>1</v>
      </c>
      <c r="M65" s="23" t="n">
        <v>14</v>
      </c>
      <c r="N65" s="23" t="s">
        <v>151</v>
      </c>
      <c r="O65" s="23"/>
      <c r="P65" s="23" t="s">
        <v>91</v>
      </c>
      <c r="Q65" s="25"/>
      <c r="R65" s="26" t="n">
        <f aca="false">IF(N(I65)=0,"",IF(OR(J65="mg/m²",J65="mg/m²/day"),I65*계산기!$C$14,IF(J65="mg/kg",I65*계산기!$C$6,IF(J65="AUC",I65*(계산기!$C$16+25),IF(J65="mg",I65,"")))))</f>
        <v>310</v>
      </c>
      <c r="S65" s="26" t="n">
        <f aca="false">IF(OR(R65="",L65=""),"",R65*L65)</f>
        <v>310</v>
      </c>
      <c r="T65" s="27" t="s">
        <v>92</v>
      </c>
      <c r="U65" s="28" t="s">
        <v>93</v>
      </c>
    </row>
    <row r="66" customFormat="false" ht="15" hidden="false" customHeight="false" outlineLevel="0" collapsed="false">
      <c r="A66" s="23"/>
      <c r="B66" s="23"/>
      <c r="C66" s="25"/>
      <c r="D66" s="25"/>
      <c r="E66" s="23"/>
      <c r="F66" s="23"/>
      <c r="G66" s="25" t="s">
        <v>150</v>
      </c>
      <c r="H66" s="23" t="s">
        <v>87</v>
      </c>
      <c r="I66" s="23" t="n">
        <v>85</v>
      </c>
      <c r="J66" s="23" t="s">
        <v>88</v>
      </c>
      <c r="K66" s="23" t="s">
        <v>95</v>
      </c>
      <c r="L66" s="23" t="n">
        <v>1</v>
      </c>
      <c r="M66" s="23" t="n">
        <v>14</v>
      </c>
      <c r="N66" s="23" t="s">
        <v>151</v>
      </c>
      <c r="O66" s="23"/>
      <c r="P66" s="23" t="s">
        <v>91</v>
      </c>
      <c r="Q66" s="25"/>
      <c r="R66" s="26" t="n">
        <f aca="false">IF(N(I66)=0,"",IF(OR(J66="mg/m²",J66="mg/m²/day"),I66*계산기!$C$14,IF(J66="mg/kg",I66*계산기!$C$6,IF(J66="AUC",I66*(계산기!$C$16+25),IF(J66="mg",I66,"")))))</f>
        <v>143.286571829557</v>
      </c>
      <c r="S66" s="26" t="n">
        <f aca="false">IF(OR(R66="",L66=""),"",R66*L66)</f>
        <v>143.286571829557</v>
      </c>
      <c r="T66" s="27"/>
      <c r="U66" s="28"/>
    </row>
    <row r="67" customFormat="false" ht="15" hidden="false" customHeight="false" outlineLevel="0" collapsed="false">
      <c r="A67" s="23"/>
      <c r="B67" s="23"/>
      <c r="C67" s="25"/>
      <c r="D67" s="25"/>
      <c r="E67" s="23"/>
      <c r="F67" s="23"/>
      <c r="G67" s="25" t="s">
        <v>152</v>
      </c>
      <c r="H67" s="23" t="s">
        <v>87</v>
      </c>
      <c r="I67" s="23" t="n">
        <v>400</v>
      </c>
      <c r="J67" s="23" t="s">
        <v>88</v>
      </c>
      <c r="K67" s="23" t="s">
        <v>95</v>
      </c>
      <c r="L67" s="23" t="n">
        <v>1</v>
      </c>
      <c r="M67" s="23" t="n">
        <v>14</v>
      </c>
      <c r="N67" s="23" t="s">
        <v>151</v>
      </c>
      <c r="O67" s="23"/>
      <c r="P67" s="23" t="s">
        <v>91</v>
      </c>
      <c r="Q67" s="25"/>
      <c r="R67" s="26" t="n">
        <f aca="false">IF(N(I67)=0,"",IF(OR(J67="mg/m²",J67="mg/m²/day"),I67*계산기!$C$14,IF(J67="mg/kg",I67*계산기!$C$6,IF(J67="AUC",I67*(계산기!$C$16+25),IF(J67="mg",I67,"")))))</f>
        <v>674.289749786149</v>
      </c>
      <c r="S67" s="26" t="n">
        <f aca="false">IF(OR(R67="",L67=""),"",R67*L67)</f>
        <v>674.289749786149</v>
      </c>
      <c r="T67" s="27"/>
      <c r="U67" s="28"/>
    </row>
    <row r="68" customFormat="false" ht="15" hidden="false" customHeight="false" outlineLevel="0" collapsed="false">
      <c r="A68" s="23"/>
      <c r="B68" s="23"/>
      <c r="C68" s="25"/>
      <c r="D68" s="25"/>
      <c r="E68" s="23"/>
      <c r="F68" s="23"/>
      <c r="G68" s="25" t="s">
        <v>154</v>
      </c>
      <c r="H68" s="23" t="s">
        <v>87</v>
      </c>
      <c r="I68" s="23" t="n">
        <v>2400</v>
      </c>
      <c r="J68" s="23" t="s">
        <v>88</v>
      </c>
      <c r="K68" s="23" t="s">
        <v>155</v>
      </c>
      <c r="L68" s="23" t="n">
        <v>1</v>
      </c>
      <c r="M68" s="23" t="n">
        <v>14</v>
      </c>
      <c r="N68" s="23" t="s">
        <v>151</v>
      </c>
      <c r="O68" s="23"/>
      <c r="P68" s="23" t="s">
        <v>91</v>
      </c>
      <c r="Q68" s="25"/>
      <c r="R68" s="26" t="n">
        <f aca="false">IF(N(I68)=0,"",IF(OR(J68="mg/m²",J68="mg/m²/day"),I68*계산기!$C$14,IF(J68="mg/kg",I68*계산기!$C$6,IF(J68="AUC",I68*(계산기!$C$16+25),IF(J68="mg",I68,"")))))</f>
        <v>4045.73849871689</v>
      </c>
      <c r="S68" s="26" t="n">
        <f aca="false">IF(OR(R68="",L68=""),"",R68*L68)</f>
        <v>4045.73849871689</v>
      </c>
      <c r="T68" s="27"/>
      <c r="U68" s="28"/>
    </row>
    <row r="69" customFormat="false" ht="15" hidden="false" customHeight="false" outlineLevel="0" collapsed="false">
      <c r="A69" s="23" t="s">
        <v>231</v>
      </c>
      <c r="B69" s="23" t="n">
        <v>8</v>
      </c>
      <c r="C69" s="24" t="s">
        <v>226</v>
      </c>
      <c r="D69" s="25" t="s">
        <v>232</v>
      </c>
      <c r="E69" s="23" t="s">
        <v>99</v>
      </c>
      <c r="F69" s="23" t="s">
        <v>85</v>
      </c>
      <c r="G69" s="25" t="s">
        <v>233</v>
      </c>
      <c r="H69" s="23" t="s">
        <v>106</v>
      </c>
      <c r="I69" s="23" t="n">
        <v>250</v>
      </c>
      <c r="J69" s="23" t="s">
        <v>88</v>
      </c>
      <c r="K69" s="23" t="s">
        <v>179</v>
      </c>
      <c r="L69" s="23" t="n">
        <v>1</v>
      </c>
      <c r="M69" s="23" t="n">
        <v>7</v>
      </c>
      <c r="N69" s="23" t="s">
        <v>179</v>
      </c>
      <c r="O69" s="23"/>
      <c r="P69" s="23" t="s">
        <v>91</v>
      </c>
      <c r="Q69" s="25" t="s">
        <v>234</v>
      </c>
      <c r="R69" s="26" t="n">
        <f aca="false">IF(N(I69)=0,"",IF(OR(J69="mg/m²",J69="mg/m²/day"),I69*계산기!$C$14,IF(J69="mg/kg",I69*계산기!$C$6,IF(J69="AUC",I69*(계산기!$C$16+25),IF(J69="mg",I69,"")))))</f>
        <v>421.431093616343</v>
      </c>
      <c r="S69" s="26" t="n">
        <f aca="false">IF(OR(R69="",L69=""),"",R69*L69)</f>
        <v>421.431093616343</v>
      </c>
      <c r="T69" s="27" t="s">
        <v>92</v>
      </c>
      <c r="U69" s="28" t="s">
        <v>93</v>
      </c>
    </row>
    <row r="70" customFormat="false" ht="15" hidden="false" customHeight="false" outlineLevel="0" collapsed="false">
      <c r="A70" s="23"/>
      <c r="B70" s="23"/>
      <c r="C70" s="25"/>
      <c r="D70" s="25"/>
      <c r="E70" s="23"/>
      <c r="F70" s="23"/>
      <c r="G70" s="25" t="s">
        <v>196</v>
      </c>
      <c r="H70" s="23" t="s">
        <v>87</v>
      </c>
      <c r="I70" s="23" t="n">
        <v>180</v>
      </c>
      <c r="J70" s="23" t="s">
        <v>88</v>
      </c>
      <c r="K70" s="23" t="s">
        <v>95</v>
      </c>
      <c r="L70" s="23" t="n">
        <v>1</v>
      </c>
      <c r="M70" s="23" t="n">
        <v>14</v>
      </c>
      <c r="N70" s="23" t="s">
        <v>151</v>
      </c>
      <c r="O70" s="23"/>
      <c r="P70" s="23" t="s">
        <v>91</v>
      </c>
      <c r="Q70" s="25"/>
      <c r="R70" s="26" t="n">
        <f aca="false">IF(N(I70)=0,"",IF(OR(J70="mg/m²",J70="mg/m²/day"),I70*계산기!$C$14,IF(J70="mg/kg",I70*계산기!$C$6,IF(J70="AUC",I70*(계산기!$C$16+25),IF(J70="mg",I70,"")))))</f>
        <v>303.430387403767</v>
      </c>
      <c r="S70" s="26" t="n">
        <f aca="false">IF(OR(R70="",L70=""),"",R70*L70)</f>
        <v>303.430387403767</v>
      </c>
      <c r="T70" s="27"/>
      <c r="U70" s="28"/>
    </row>
    <row r="71" customFormat="false" ht="22.35" hidden="false" customHeight="false" outlineLevel="0" collapsed="false">
      <c r="A71" s="23" t="s">
        <v>235</v>
      </c>
      <c r="B71" s="23" t="n">
        <v>8</v>
      </c>
      <c r="C71" s="24" t="s">
        <v>226</v>
      </c>
      <c r="D71" s="25" t="s">
        <v>236</v>
      </c>
      <c r="E71" s="23" t="s">
        <v>111</v>
      </c>
      <c r="F71" s="23" t="s">
        <v>237</v>
      </c>
      <c r="G71" s="25" t="s">
        <v>238</v>
      </c>
      <c r="H71" s="23" t="s">
        <v>87</v>
      </c>
      <c r="I71" s="23" t="n">
        <v>35</v>
      </c>
      <c r="J71" s="23" t="s">
        <v>88</v>
      </c>
      <c r="K71" s="23" t="s">
        <v>239</v>
      </c>
      <c r="L71" s="23" t="n">
        <v>10</v>
      </c>
      <c r="M71" s="23" t="n">
        <v>28</v>
      </c>
      <c r="N71" s="23" t="s">
        <v>172</v>
      </c>
      <c r="O71" s="23"/>
      <c r="P71" s="23" t="s">
        <v>138</v>
      </c>
      <c r="Q71" s="25" t="s">
        <v>240</v>
      </c>
      <c r="R71" s="26" t="n">
        <f aca="false">IF(N(I71)=0,"",IF(OR(J71="mg/m²",J71="mg/m²/day"),I71*계산기!$C$14,IF(J71="mg/kg",I71*계산기!$C$6,IF(J71="AUC",I71*(계산기!$C$16+25),IF(J71="mg",I71,"")))))</f>
        <v>59.000353106288</v>
      </c>
      <c r="S71" s="26" t="n">
        <f aca="false">IF(OR(R71="",L71=""),"",R71*L71)</f>
        <v>590.00353106288</v>
      </c>
      <c r="T71" s="27" t="s">
        <v>92</v>
      </c>
      <c r="U71" s="28" t="s">
        <v>93</v>
      </c>
    </row>
    <row r="72" customFormat="false" ht="15" hidden="false" customHeight="false" outlineLevel="0" collapsed="false">
      <c r="A72" s="23" t="s">
        <v>241</v>
      </c>
      <c r="B72" s="23" t="n">
        <v>9</v>
      </c>
      <c r="C72" s="24" t="s">
        <v>242</v>
      </c>
      <c r="D72" s="25" t="s">
        <v>243</v>
      </c>
      <c r="E72" s="23" t="s">
        <v>244</v>
      </c>
      <c r="F72" s="29" t="s">
        <v>245</v>
      </c>
      <c r="G72" s="25" t="s">
        <v>246</v>
      </c>
      <c r="H72" s="23" t="s">
        <v>87</v>
      </c>
      <c r="I72" s="23" t="n">
        <v>60</v>
      </c>
      <c r="J72" s="23" t="s">
        <v>88</v>
      </c>
      <c r="K72" s="23" t="s">
        <v>95</v>
      </c>
      <c r="L72" s="23" t="n">
        <v>1</v>
      </c>
      <c r="M72" s="23" t="n">
        <v>21</v>
      </c>
      <c r="N72" s="23" t="s">
        <v>90</v>
      </c>
      <c r="O72" s="23" t="n">
        <v>4</v>
      </c>
      <c r="P72" s="23" t="s">
        <v>91</v>
      </c>
      <c r="Q72" s="25"/>
      <c r="R72" s="26" t="n">
        <f aca="false">IF(N(I72)=0,"",IF(OR(J72="mg/m²",J72="mg/m²/day"),I72*계산기!$C$14,IF(J72="mg/kg",I72*계산기!$C$6,IF(J72="AUC",I72*(계산기!$C$16+25),IF(J72="mg",I72,"")))))</f>
        <v>101.143462467922</v>
      </c>
      <c r="S72" s="26" t="n">
        <f aca="false">IF(OR(R72="",L72=""),"",R72*L72)</f>
        <v>101.143462467922</v>
      </c>
      <c r="T72" s="27" t="s">
        <v>92</v>
      </c>
      <c r="U72" s="28" t="s">
        <v>93</v>
      </c>
    </row>
    <row r="73" customFormat="false" ht="15" hidden="false" customHeight="false" outlineLevel="0" collapsed="false">
      <c r="A73" s="23"/>
      <c r="B73" s="23"/>
      <c r="C73" s="25"/>
      <c r="D73" s="25"/>
      <c r="E73" s="23"/>
      <c r="F73" s="23"/>
      <c r="G73" s="25" t="s">
        <v>247</v>
      </c>
      <c r="H73" s="23" t="s">
        <v>87</v>
      </c>
      <c r="I73" s="23" t="n">
        <v>600</v>
      </c>
      <c r="J73" s="23" t="s">
        <v>88</v>
      </c>
      <c r="K73" s="23" t="s">
        <v>95</v>
      </c>
      <c r="L73" s="23" t="n">
        <v>1</v>
      </c>
      <c r="M73" s="23" t="n">
        <v>21</v>
      </c>
      <c r="N73" s="23" t="s">
        <v>90</v>
      </c>
      <c r="O73" s="23" t="n">
        <v>4</v>
      </c>
      <c r="P73" s="23" t="s">
        <v>91</v>
      </c>
      <c r="Q73" s="25"/>
      <c r="R73" s="26" t="n">
        <f aca="false">IF(N(I73)=0,"",IF(OR(J73="mg/m²",J73="mg/m²/day"),I73*계산기!$C$14,IF(J73="mg/kg",I73*계산기!$C$6,IF(J73="AUC",I73*(계산기!$C$16+25),IF(J73="mg",I73,"")))))</f>
        <v>1011.43462467922</v>
      </c>
      <c r="S73" s="26" t="n">
        <f aca="false">IF(OR(R73="",L73=""),"",R73*L73)</f>
        <v>1011.43462467922</v>
      </c>
      <c r="T73" s="27"/>
      <c r="U73" s="28"/>
    </row>
    <row r="74" customFormat="false" ht="15" hidden="false" customHeight="false" outlineLevel="0" collapsed="false">
      <c r="A74" s="23" t="s">
        <v>248</v>
      </c>
      <c r="B74" s="23" t="n">
        <v>9</v>
      </c>
      <c r="C74" s="24" t="s">
        <v>242</v>
      </c>
      <c r="D74" s="25" t="s">
        <v>249</v>
      </c>
      <c r="E74" s="23" t="s">
        <v>244</v>
      </c>
      <c r="F74" s="29" t="s">
        <v>245</v>
      </c>
      <c r="G74" s="25" t="s">
        <v>122</v>
      </c>
      <c r="H74" s="23" t="s">
        <v>87</v>
      </c>
      <c r="I74" s="23" t="n">
        <v>80</v>
      </c>
      <c r="J74" s="23" t="s">
        <v>88</v>
      </c>
      <c r="K74" s="23" t="s">
        <v>179</v>
      </c>
      <c r="L74" s="23" t="n">
        <v>1</v>
      </c>
      <c r="M74" s="23" t="n">
        <v>7</v>
      </c>
      <c r="N74" s="23" t="s">
        <v>179</v>
      </c>
      <c r="O74" s="23" t="n">
        <v>12</v>
      </c>
      <c r="P74" s="23" t="s">
        <v>91</v>
      </c>
      <c r="Q74" s="25" t="s">
        <v>250</v>
      </c>
      <c r="R74" s="26" t="n">
        <f aca="false">IF(N(I74)=0,"",IF(OR(J74="mg/m²",J74="mg/m²/day"),I74*계산기!$C$14,IF(J74="mg/kg",I74*계산기!$C$6,IF(J74="AUC",I74*(계산기!$C$16+25),IF(J74="mg",I74,"")))))</f>
        <v>134.85794995723</v>
      </c>
      <c r="S74" s="26" t="n">
        <f aca="false">IF(OR(R74="",L74=""),"",R74*L74)</f>
        <v>134.85794995723</v>
      </c>
      <c r="T74" s="27" t="s">
        <v>92</v>
      </c>
      <c r="U74" s="28" t="s">
        <v>93</v>
      </c>
    </row>
    <row r="75" customFormat="false" ht="22.35" hidden="false" customHeight="false" outlineLevel="0" collapsed="false">
      <c r="A75" s="23" t="s">
        <v>251</v>
      </c>
      <c r="B75" s="23" t="n">
        <v>9</v>
      </c>
      <c r="C75" s="24" t="s">
        <v>242</v>
      </c>
      <c r="D75" s="25" t="s">
        <v>252</v>
      </c>
      <c r="E75" s="23" t="s">
        <v>253</v>
      </c>
      <c r="F75" s="29" t="s">
        <v>254</v>
      </c>
      <c r="G75" s="25" t="s">
        <v>128</v>
      </c>
      <c r="H75" s="23" t="s">
        <v>87</v>
      </c>
      <c r="I75" s="23" t="n">
        <v>75</v>
      </c>
      <c r="J75" s="23" t="s">
        <v>88</v>
      </c>
      <c r="K75" s="23" t="s">
        <v>95</v>
      </c>
      <c r="L75" s="23" t="n">
        <v>1</v>
      </c>
      <c r="M75" s="23" t="n">
        <v>21</v>
      </c>
      <c r="N75" s="23" t="s">
        <v>90</v>
      </c>
      <c r="O75" s="23" t="n">
        <v>4</v>
      </c>
      <c r="P75" s="23" t="s">
        <v>91</v>
      </c>
      <c r="Q75" s="25"/>
      <c r="R75" s="26" t="n">
        <f aca="false">IF(N(I75)=0,"",IF(OR(J75="mg/m²",J75="mg/m²/day"),I75*계산기!$C$14,IF(J75="mg/kg",I75*계산기!$C$6,IF(J75="AUC",I75*(계산기!$C$16+25),IF(J75="mg",I75,"")))))</f>
        <v>126.429328084903</v>
      </c>
      <c r="S75" s="26" t="n">
        <f aca="false">IF(OR(R75="",L75=""),"",R75*L75)</f>
        <v>126.429328084903</v>
      </c>
      <c r="T75" s="27" t="s">
        <v>92</v>
      </c>
      <c r="U75" s="28" t="s">
        <v>93</v>
      </c>
    </row>
    <row r="76" customFormat="false" ht="15" hidden="false" customHeight="false" outlineLevel="0" collapsed="false">
      <c r="A76" s="23"/>
      <c r="B76" s="23"/>
      <c r="C76" s="25"/>
      <c r="D76" s="25"/>
      <c r="E76" s="23"/>
      <c r="F76" s="23"/>
      <c r="G76" s="25" t="s">
        <v>247</v>
      </c>
      <c r="H76" s="23" t="s">
        <v>87</v>
      </c>
      <c r="I76" s="23" t="n">
        <v>600</v>
      </c>
      <c r="J76" s="23" t="s">
        <v>88</v>
      </c>
      <c r="K76" s="23" t="s">
        <v>95</v>
      </c>
      <c r="L76" s="23" t="n">
        <v>1</v>
      </c>
      <c r="M76" s="23" t="n">
        <v>21</v>
      </c>
      <c r="N76" s="23" t="s">
        <v>90</v>
      </c>
      <c r="O76" s="23" t="n">
        <v>4</v>
      </c>
      <c r="P76" s="23" t="s">
        <v>91</v>
      </c>
      <c r="Q76" s="25"/>
      <c r="R76" s="26" t="n">
        <f aca="false">IF(N(I76)=0,"",IF(OR(J76="mg/m²",J76="mg/m²/day"),I76*계산기!$C$14,IF(J76="mg/kg",I76*계산기!$C$6,IF(J76="AUC",I76*(계산기!$C$16+25),IF(J76="mg",I76,"")))))</f>
        <v>1011.43462467922</v>
      </c>
      <c r="S76" s="26" t="n">
        <f aca="false">IF(OR(R76="",L76=""),"",R76*L76)</f>
        <v>1011.43462467922</v>
      </c>
      <c r="T76" s="27"/>
      <c r="U76" s="28"/>
    </row>
    <row r="77" customFormat="false" ht="32.8" hidden="false" customHeight="false" outlineLevel="0" collapsed="false">
      <c r="A77" s="23" t="s">
        <v>255</v>
      </c>
      <c r="B77" s="23" t="n">
        <v>9</v>
      </c>
      <c r="C77" s="24" t="s">
        <v>242</v>
      </c>
      <c r="D77" s="25" t="s">
        <v>256</v>
      </c>
      <c r="E77" s="23" t="s">
        <v>257</v>
      </c>
      <c r="F77" s="23" t="s">
        <v>258</v>
      </c>
      <c r="G77" s="25" t="s">
        <v>128</v>
      </c>
      <c r="H77" s="23" t="s">
        <v>87</v>
      </c>
      <c r="I77" s="23" t="n">
        <v>75</v>
      </c>
      <c r="J77" s="23" t="s">
        <v>88</v>
      </c>
      <c r="K77" s="23" t="s">
        <v>95</v>
      </c>
      <c r="L77" s="23" t="n">
        <v>1</v>
      </c>
      <c r="M77" s="23" t="n">
        <v>21</v>
      </c>
      <c r="N77" s="23" t="s">
        <v>90</v>
      </c>
      <c r="O77" s="23"/>
      <c r="P77" s="23" t="s">
        <v>91</v>
      </c>
      <c r="Q77" s="25"/>
      <c r="R77" s="26" t="n">
        <f aca="false">IF(N(I77)=0,"",IF(OR(J77="mg/m²",J77="mg/m²/day"),I77*계산기!$C$14,IF(J77="mg/kg",I77*계산기!$C$6,IF(J77="AUC",I77*(계산기!$C$16+25),IF(J77="mg",I77,"")))))</f>
        <v>126.429328084903</v>
      </c>
      <c r="S77" s="26" t="n">
        <f aca="false">IF(OR(R77="",L77=""),"",R77*L77)</f>
        <v>126.429328084903</v>
      </c>
      <c r="T77" s="27" t="s">
        <v>92</v>
      </c>
      <c r="U77" s="28" t="s">
        <v>93</v>
      </c>
    </row>
    <row r="78" customFormat="false" ht="15" hidden="false" customHeight="false" outlineLevel="0" collapsed="false">
      <c r="A78" s="23"/>
      <c r="B78" s="23"/>
      <c r="C78" s="25"/>
      <c r="D78" s="25"/>
      <c r="E78" s="23"/>
      <c r="F78" s="23"/>
      <c r="G78" s="25" t="s">
        <v>164</v>
      </c>
      <c r="H78" s="23" t="s">
        <v>106</v>
      </c>
      <c r="I78" s="23" t="n">
        <v>6</v>
      </c>
      <c r="J78" s="23" t="s">
        <v>165</v>
      </c>
      <c r="K78" s="23" t="s">
        <v>95</v>
      </c>
      <c r="L78" s="23" t="n">
        <v>1</v>
      </c>
      <c r="M78" s="23" t="n">
        <v>21</v>
      </c>
      <c r="N78" s="23" t="s">
        <v>90</v>
      </c>
      <c r="O78" s="23"/>
      <c r="P78" s="23" t="s">
        <v>91</v>
      </c>
      <c r="Q78" s="24" t="s">
        <v>259</v>
      </c>
      <c r="R78" s="26" t="n">
        <f aca="false">IF(N(I78)=0,"",IF(OR(J78="mg/m²",J78="mg/m²/day"),I78*계산기!$C$14,IF(J78="mg/kg",I78*계산기!$C$6,IF(J78="AUC",I78*(계산기!$C$16+25),IF(J78="mg",I78,"")))))</f>
        <v>372</v>
      </c>
      <c r="S78" s="26" t="n">
        <f aca="false">IF(OR(R78="",L78=""),"",R78*L78)</f>
        <v>372</v>
      </c>
      <c r="T78" s="27"/>
      <c r="U78" s="28"/>
    </row>
    <row r="79" customFormat="false" ht="15" hidden="false" customHeight="false" outlineLevel="0" collapsed="false">
      <c r="A79" s="23"/>
      <c r="B79" s="23"/>
      <c r="C79" s="25"/>
      <c r="D79" s="25"/>
      <c r="E79" s="23"/>
      <c r="F79" s="23"/>
      <c r="G79" s="25" t="s">
        <v>260</v>
      </c>
      <c r="H79" s="23" t="s">
        <v>106</v>
      </c>
      <c r="I79" s="23" t="n">
        <v>420</v>
      </c>
      <c r="J79" s="23" t="s">
        <v>107</v>
      </c>
      <c r="K79" s="23" t="s">
        <v>95</v>
      </c>
      <c r="L79" s="23" t="n">
        <v>1</v>
      </c>
      <c r="M79" s="23" t="n">
        <v>21</v>
      </c>
      <c r="N79" s="23" t="s">
        <v>90</v>
      </c>
      <c r="O79" s="23"/>
      <c r="P79" s="23" t="s">
        <v>91</v>
      </c>
      <c r="Q79" s="24" t="s">
        <v>261</v>
      </c>
      <c r="R79" s="26" t="n">
        <f aca="false">IF(N(I79)=0,"",IF(OR(J79="mg/m²",J79="mg/m²/day"),I79*계산기!$C$14,IF(J79="mg/kg",I79*계산기!$C$6,IF(J79="AUC",I79*(계산기!$C$16+25),IF(J79="mg",I79,"")))))</f>
        <v>420</v>
      </c>
      <c r="S79" s="26" t="n">
        <f aca="false">IF(OR(R79="",L79=""),"",R79*L79)</f>
        <v>420</v>
      </c>
      <c r="T79" s="27"/>
      <c r="U79" s="28"/>
    </row>
    <row r="80" customFormat="false" ht="26.85" hidden="false" customHeight="false" outlineLevel="0" collapsed="false">
      <c r="A80" s="23" t="s">
        <v>262</v>
      </c>
      <c r="B80" s="23" t="n">
        <v>9</v>
      </c>
      <c r="C80" s="24" t="s">
        <v>242</v>
      </c>
      <c r="D80" s="25" t="s">
        <v>263</v>
      </c>
      <c r="E80" s="23" t="s">
        <v>99</v>
      </c>
      <c r="F80" s="23" t="s">
        <v>264</v>
      </c>
      <c r="G80" s="25" t="s">
        <v>265</v>
      </c>
      <c r="H80" s="23" t="s">
        <v>106</v>
      </c>
      <c r="I80" s="23" t="n">
        <v>125</v>
      </c>
      <c r="J80" s="23" t="s">
        <v>107</v>
      </c>
      <c r="K80" s="23" t="s">
        <v>213</v>
      </c>
      <c r="L80" s="23" t="n">
        <v>1</v>
      </c>
      <c r="M80" s="23" t="n">
        <v>28</v>
      </c>
      <c r="N80" s="23" t="s">
        <v>214</v>
      </c>
      <c r="O80" s="23"/>
      <c r="P80" s="23" t="s">
        <v>138</v>
      </c>
      <c r="Q80" s="25"/>
      <c r="R80" s="26" t="n">
        <f aca="false">IF(N(I80)=0,"",IF(OR(J80="mg/m²",J80="mg/m²/day"),I80*계산기!$C$14,IF(J80="mg/kg",I80*계산기!$C$6,IF(J80="AUC",I80*(계산기!$C$16+25),IF(J80="mg",I80,"")))))</f>
        <v>125</v>
      </c>
      <c r="S80" s="26" t="n">
        <f aca="false">IF(OR(R80="",L80=""),"",R80*L80)</f>
        <v>125</v>
      </c>
      <c r="T80" s="27" t="s">
        <v>92</v>
      </c>
      <c r="U80" s="28" t="s">
        <v>93</v>
      </c>
    </row>
    <row r="81" customFormat="false" ht="15" hidden="false" customHeight="false" outlineLevel="0" collapsed="false">
      <c r="A81" s="23"/>
      <c r="B81" s="23"/>
      <c r="C81" s="25"/>
      <c r="D81" s="25"/>
      <c r="E81" s="23"/>
      <c r="F81" s="23"/>
      <c r="G81" s="25" t="s">
        <v>266</v>
      </c>
      <c r="H81" s="23" t="s">
        <v>87</v>
      </c>
      <c r="I81" s="23" t="n">
        <v>2.5</v>
      </c>
      <c r="J81" s="23" t="s">
        <v>107</v>
      </c>
      <c r="K81" s="29" t="s">
        <v>135</v>
      </c>
      <c r="L81" s="23" t="n">
        <v>1</v>
      </c>
      <c r="M81" s="23" t="n">
        <v>1</v>
      </c>
      <c r="N81" s="23" t="s">
        <v>136</v>
      </c>
      <c r="O81" s="29" t="s">
        <v>137</v>
      </c>
      <c r="P81" s="23" t="s">
        <v>138</v>
      </c>
      <c r="Q81" s="24" t="s">
        <v>267</v>
      </c>
      <c r="R81" s="26" t="n">
        <f aca="false">IF(N(I81)=0,"",IF(OR(J81="mg/m²",J81="mg/m²/day"),I81*계산기!$C$14,IF(J81="mg/kg",I81*계산기!$C$6,IF(J81="AUC",I81*(계산기!$C$16+25),IF(J81="mg",I81,"")))))</f>
        <v>2.5</v>
      </c>
      <c r="S81" s="26" t="n">
        <f aca="false">IF(OR(R81="",L81=""),"",R81*L81)</f>
        <v>2.5</v>
      </c>
      <c r="T81" s="27"/>
      <c r="U81" s="28"/>
    </row>
    <row r="82" customFormat="false" ht="26.85" hidden="false" customHeight="false" outlineLevel="0" collapsed="false">
      <c r="A82" s="23" t="s">
        <v>268</v>
      </c>
      <c r="B82" s="23" t="n">
        <v>9</v>
      </c>
      <c r="C82" s="24" t="s">
        <v>242</v>
      </c>
      <c r="D82" s="25" t="s">
        <v>269</v>
      </c>
      <c r="E82" s="23" t="s">
        <v>99</v>
      </c>
      <c r="F82" s="23" t="s">
        <v>270</v>
      </c>
      <c r="G82" s="25" t="s">
        <v>271</v>
      </c>
      <c r="H82" s="23" t="s">
        <v>106</v>
      </c>
      <c r="I82" s="23" t="n">
        <v>5.4</v>
      </c>
      <c r="J82" s="23" t="s">
        <v>165</v>
      </c>
      <c r="K82" s="23" t="s">
        <v>95</v>
      </c>
      <c r="L82" s="23" t="n">
        <v>1</v>
      </c>
      <c r="M82" s="23" t="n">
        <v>21</v>
      </c>
      <c r="N82" s="23" t="s">
        <v>90</v>
      </c>
      <c r="O82" s="23"/>
      <c r="P82" s="23" t="s">
        <v>91</v>
      </c>
      <c r="Q82" s="25"/>
      <c r="R82" s="26" t="n">
        <f aca="false">IF(N(I82)=0,"",IF(OR(J82="mg/m²",J82="mg/m²/day"),I82*계산기!$C$14,IF(J82="mg/kg",I82*계산기!$C$6,IF(J82="AUC",I82*(계산기!$C$16+25),IF(J82="mg",I82,"")))))</f>
        <v>334.8</v>
      </c>
      <c r="S82" s="26" t="n">
        <f aca="false">IF(OR(R82="",L82=""),"",R82*L82)</f>
        <v>334.8</v>
      </c>
      <c r="T82" s="27" t="s">
        <v>92</v>
      </c>
      <c r="U82" s="28" t="s">
        <v>93</v>
      </c>
    </row>
    <row r="83" customFormat="false" ht="15" hidden="false" customHeight="false" outlineLevel="0" collapsed="false">
      <c r="A83" s="23" t="s">
        <v>272</v>
      </c>
      <c r="B83" s="23" t="n">
        <v>9</v>
      </c>
      <c r="C83" s="24" t="s">
        <v>242</v>
      </c>
      <c r="D83" s="25" t="s">
        <v>273</v>
      </c>
      <c r="E83" s="23" t="s">
        <v>99</v>
      </c>
      <c r="F83" s="29" t="s">
        <v>274</v>
      </c>
      <c r="G83" s="25" t="s">
        <v>159</v>
      </c>
      <c r="H83" s="23" t="s">
        <v>87</v>
      </c>
      <c r="I83" s="23" t="n">
        <v>1250</v>
      </c>
      <c r="J83" s="23" t="s">
        <v>88</v>
      </c>
      <c r="K83" s="23" t="s">
        <v>160</v>
      </c>
      <c r="L83" s="23" t="n">
        <v>2</v>
      </c>
      <c r="M83" s="23" t="n">
        <v>21</v>
      </c>
      <c r="N83" s="23" t="s">
        <v>90</v>
      </c>
      <c r="O83" s="23"/>
      <c r="P83" s="23" t="s">
        <v>138</v>
      </c>
      <c r="Q83" s="25"/>
      <c r="R83" s="26" t="n">
        <f aca="false">IF(N(I83)=0,"",IF(OR(J83="mg/m²",J83="mg/m²/day"),I83*계산기!$C$14,IF(J83="mg/kg",I83*계산기!$C$6,IF(J83="AUC",I83*(계산기!$C$16+25),IF(J83="mg",I83,"")))))</f>
        <v>2107.15546808171</v>
      </c>
      <c r="S83" s="26" t="n">
        <f aca="false">IF(OR(R83="",L83=""),"",R83*L83)</f>
        <v>4214.31093616343</v>
      </c>
      <c r="T83" s="27" t="s">
        <v>92</v>
      </c>
      <c r="U83" s="28" t="s">
        <v>93</v>
      </c>
    </row>
    <row r="84" customFormat="false" ht="26.85" hidden="false" customHeight="false" outlineLevel="0" collapsed="false">
      <c r="A84" s="23" t="s">
        <v>275</v>
      </c>
      <c r="B84" s="23" t="n">
        <v>9</v>
      </c>
      <c r="C84" s="24" t="s">
        <v>242</v>
      </c>
      <c r="D84" s="25" t="s">
        <v>276</v>
      </c>
      <c r="E84" s="23" t="s">
        <v>99</v>
      </c>
      <c r="F84" s="29" t="s">
        <v>277</v>
      </c>
      <c r="G84" s="25" t="s">
        <v>276</v>
      </c>
      <c r="H84" s="23" t="s">
        <v>106</v>
      </c>
      <c r="I84" s="23" t="n">
        <v>1.4</v>
      </c>
      <c r="J84" s="23" t="s">
        <v>88</v>
      </c>
      <c r="K84" s="23" t="s">
        <v>126</v>
      </c>
      <c r="L84" s="23" t="n">
        <v>2</v>
      </c>
      <c r="M84" s="23" t="n">
        <v>21</v>
      </c>
      <c r="N84" s="23" t="s">
        <v>90</v>
      </c>
      <c r="O84" s="23"/>
      <c r="P84" s="23" t="s">
        <v>91</v>
      </c>
      <c r="Q84" s="25"/>
      <c r="R84" s="26" t="n">
        <f aca="false">IF(N(I84)=0,"",IF(OR(J84="mg/m²",J84="mg/m²/day"),I84*계산기!$C$14,IF(J84="mg/kg",I84*계산기!$C$6,IF(J84="AUC",I84*(계산기!$C$16+25),IF(J84="mg",I84,"")))))</f>
        <v>2.36001412425152</v>
      </c>
      <c r="S84" s="26" t="n">
        <f aca="false">IF(OR(R84="",L84=""),"",R84*L84)</f>
        <v>4.72002824850304</v>
      </c>
      <c r="T84" s="27" t="s">
        <v>92</v>
      </c>
      <c r="U84" s="28" t="s">
        <v>93</v>
      </c>
    </row>
    <row r="85" customFormat="false" ht="26.85" hidden="false" customHeight="false" outlineLevel="0" collapsed="false">
      <c r="A85" s="23" t="s">
        <v>278</v>
      </c>
      <c r="B85" s="23" t="n">
        <v>10</v>
      </c>
      <c r="C85" s="24" t="s">
        <v>279</v>
      </c>
      <c r="D85" s="25" t="s">
        <v>121</v>
      </c>
      <c r="E85" s="23" t="s">
        <v>280</v>
      </c>
      <c r="F85" s="23" t="s">
        <v>85</v>
      </c>
      <c r="G85" s="25" t="s">
        <v>122</v>
      </c>
      <c r="H85" s="23" t="s">
        <v>87</v>
      </c>
      <c r="I85" s="23" t="n">
        <v>175</v>
      </c>
      <c r="J85" s="23" t="s">
        <v>88</v>
      </c>
      <c r="K85" s="23" t="s">
        <v>95</v>
      </c>
      <c r="L85" s="23" t="n">
        <v>1</v>
      </c>
      <c r="M85" s="23" t="n">
        <v>21</v>
      </c>
      <c r="N85" s="23" t="s">
        <v>90</v>
      </c>
      <c r="O85" s="23" t="n">
        <v>6</v>
      </c>
      <c r="P85" s="23" t="s">
        <v>91</v>
      </c>
      <c r="Q85" s="25"/>
      <c r="R85" s="26" t="n">
        <f aca="false">IF(N(I85)=0,"",IF(OR(J85="mg/m²",J85="mg/m²/day"),I85*계산기!$C$14,IF(J85="mg/kg",I85*계산기!$C$6,IF(J85="AUC",I85*(계산기!$C$16+25),IF(J85="mg",I85,"")))))</f>
        <v>295.00176553144</v>
      </c>
      <c r="S85" s="26" t="n">
        <f aca="false">IF(OR(R85="",L85=""),"",R85*L85)</f>
        <v>295.00176553144</v>
      </c>
      <c r="T85" s="27" t="s">
        <v>92</v>
      </c>
      <c r="U85" s="28" t="s">
        <v>93</v>
      </c>
    </row>
    <row r="86" customFormat="false" ht="15" hidden="false" customHeight="false" outlineLevel="0" collapsed="false">
      <c r="A86" s="23"/>
      <c r="B86" s="23"/>
      <c r="C86" s="25"/>
      <c r="D86" s="25"/>
      <c r="E86" s="23"/>
      <c r="F86" s="23"/>
      <c r="G86" s="25" t="s">
        <v>100</v>
      </c>
      <c r="H86" s="23" t="s">
        <v>87</v>
      </c>
      <c r="I86" s="23" t="n">
        <v>5</v>
      </c>
      <c r="J86" s="23" t="s">
        <v>101</v>
      </c>
      <c r="K86" s="23" t="s">
        <v>95</v>
      </c>
      <c r="L86" s="23" t="n">
        <v>1</v>
      </c>
      <c r="M86" s="23" t="n">
        <v>21</v>
      </c>
      <c r="N86" s="23" t="s">
        <v>90</v>
      </c>
      <c r="O86" s="23" t="n">
        <v>6</v>
      </c>
      <c r="P86" s="23" t="s">
        <v>91</v>
      </c>
      <c r="Q86" s="25" t="s">
        <v>102</v>
      </c>
      <c r="R86" s="26" t="n">
        <f aca="false">IF(N(I86)=0,"",IF(OR(J86="mg/m²",J86="mg/m²/day"),I86*계산기!$C$14,IF(J86="mg/kg",I86*계산기!$C$6,IF(J86="AUC",I86*(계산기!$C$16+25),IF(J86="mg",I86,"")))))</f>
        <v>507.716049382716</v>
      </c>
      <c r="S86" s="26" t="n">
        <f aca="false">IF(OR(R86="",L86=""),"",R86*L86)</f>
        <v>507.716049382716</v>
      </c>
      <c r="T86" s="27"/>
      <c r="U86" s="28"/>
    </row>
    <row r="87" customFormat="false" ht="26.85" hidden="false" customHeight="false" outlineLevel="0" collapsed="false">
      <c r="A87" s="23" t="s">
        <v>281</v>
      </c>
      <c r="B87" s="23" t="n">
        <v>10</v>
      </c>
      <c r="C87" s="24" t="s">
        <v>279</v>
      </c>
      <c r="D87" s="25" t="s">
        <v>282</v>
      </c>
      <c r="E87" s="29" t="s">
        <v>283</v>
      </c>
      <c r="F87" s="23" t="s">
        <v>284</v>
      </c>
      <c r="G87" s="25" t="s">
        <v>285</v>
      </c>
      <c r="H87" s="23" t="s">
        <v>106</v>
      </c>
      <c r="I87" s="23" t="n">
        <v>300</v>
      </c>
      <c r="J87" s="23" t="s">
        <v>107</v>
      </c>
      <c r="K87" s="23" t="s">
        <v>145</v>
      </c>
      <c r="L87" s="23" t="n">
        <v>2</v>
      </c>
      <c r="M87" s="23" t="n">
        <v>1</v>
      </c>
      <c r="N87" s="23" t="s">
        <v>136</v>
      </c>
      <c r="O87" s="29" t="s">
        <v>137</v>
      </c>
      <c r="P87" s="23" t="s">
        <v>138</v>
      </c>
      <c r="Q87" s="24" t="s">
        <v>286</v>
      </c>
      <c r="R87" s="26" t="n">
        <f aca="false">IF(N(I87)=0,"",IF(OR(J87="mg/m²",J87="mg/m²/day"),I87*계산기!$C$14,IF(J87="mg/kg",I87*계산기!$C$6,IF(J87="AUC",I87*(계산기!$C$16+25),IF(J87="mg",I87,"")))))</f>
        <v>300</v>
      </c>
      <c r="S87" s="26" t="n">
        <f aca="false">IF(OR(R87="",L87=""),"",R87*L87)</f>
        <v>600</v>
      </c>
      <c r="T87" s="27" t="s">
        <v>92</v>
      </c>
      <c r="U87" s="28" t="s">
        <v>93</v>
      </c>
    </row>
    <row r="88" customFormat="false" ht="26.85" hidden="false" customHeight="false" outlineLevel="0" collapsed="false">
      <c r="A88" s="23" t="s">
        <v>287</v>
      </c>
      <c r="B88" s="23" t="n">
        <v>10</v>
      </c>
      <c r="C88" s="24" t="s">
        <v>279</v>
      </c>
      <c r="D88" s="25" t="s">
        <v>288</v>
      </c>
      <c r="E88" s="29" t="s">
        <v>283</v>
      </c>
      <c r="F88" s="23" t="s">
        <v>289</v>
      </c>
      <c r="G88" s="25" t="s">
        <v>290</v>
      </c>
      <c r="H88" s="23" t="s">
        <v>106</v>
      </c>
      <c r="I88" s="23" t="n">
        <v>200</v>
      </c>
      <c r="J88" s="23" t="s">
        <v>107</v>
      </c>
      <c r="K88" s="29" t="s">
        <v>135</v>
      </c>
      <c r="L88" s="23" t="n">
        <v>1</v>
      </c>
      <c r="M88" s="23" t="n">
        <v>1</v>
      </c>
      <c r="N88" s="23" t="s">
        <v>136</v>
      </c>
      <c r="O88" s="29" t="s">
        <v>137</v>
      </c>
      <c r="P88" s="23" t="s">
        <v>138</v>
      </c>
      <c r="Q88" s="24" t="s">
        <v>291</v>
      </c>
      <c r="R88" s="26" t="n">
        <f aca="false">IF(N(I88)=0,"",IF(OR(J88="mg/m²",J88="mg/m²/day"),I88*계산기!$C$14,IF(J88="mg/kg",I88*계산기!$C$6,IF(J88="AUC",I88*(계산기!$C$16+25),IF(J88="mg",I88,"")))))</f>
        <v>200</v>
      </c>
      <c r="S88" s="26" t="n">
        <f aca="false">IF(OR(R88="",L88=""),"",R88*L88)</f>
        <v>200</v>
      </c>
      <c r="T88" s="27" t="s">
        <v>92</v>
      </c>
      <c r="U88" s="28" t="s">
        <v>93</v>
      </c>
    </row>
    <row r="89" customFormat="false" ht="26.85" hidden="false" customHeight="false" outlineLevel="0" collapsed="false">
      <c r="A89" s="23" t="s">
        <v>292</v>
      </c>
      <c r="B89" s="23" t="n">
        <v>10</v>
      </c>
      <c r="C89" s="24" t="s">
        <v>279</v>
      </c>
      <c r="D89" s="25" t="s">
        <v>293</v>
      </c>
      <c r="E89" s="23" t="s">
        <v>99</v>
      </c>
      <c r="F89" s="29" t="s">
        <v>294</v>
      </c>
      <c r="G89" s="25" t="s">
        <v>293</v>
      </c>
      <c r="H89" s="23" t="s">
        <v>87</v>
      </c>
      <c r="I89" s="23" t="n">
        <v>40</v>
      </c>
      <c r="J89" s="23" t="s">
        <v>88</v>
      </c>
      <c r="K89" s="23" t="s">
        <v>95</v>
      </c>
      <c r="L89" s="23" t="n">
        <v>1</v>
      </c>
      <c r="M89" s="23" t="n">
        <v>28</v>
      </c>
      <c r="N89" s="23" t="s">
        <v>172</v>
      </c>
      <c r="O89" s="23"/>
      <c r="P89" s="23" t="s">
        <v>91</v>
      </c>
      <c r="Q89" s="25" t="s">
        <v>295</v>
      </c>
      <c r="R89" s="26" t="n">
        <f aca="false">IF(N(I89)=0,"",IF(OR(J89="mg/m²",J89="mg/m²/day"),I89*계산기!$C$14,IF(J89="mg/kg",I89*계산기!$C$6,IF(J89="AUC",I89*(계산기!$C$16+25),IF(J89="mg",I89,"")))))</f>
        <v>67.4289749786149</v>
      </c>
      <c r="S89" s="26" t="n">
        <f aca="false">IF(OR(R89="",L89=""),"",R89*L89)</f>
        <v>67.4289749786149</v>
      </c>
      <c r="T89" s="27" t="s">
        <v>92</v>
      </c>
      <c r="U89" s="28" t="s">
        <v>93</v>
      </c>
    </row>
    <row r="90" customFormat="false" ht="26.85" hidden="false" customHeight="false" outlineLevel="0" collapsed="false">
      <c r="A90" s="23" t="s">
        <v>296</v>
      </c>
      <c r="B90" s="23" t="n">
        <v>11</v>
      </c>
      <c r="C90" s="24" t="s">
        <v>297</v>
      </c>
      <c r="D90" s="25" t="s">
        <v>298</v>
      </c>
      <c r="E90" s="23" t="s">
        <v>299</v>
      </c>
      <c r="F90" s="29" t="s">
        <v>300</v>
      </c>
      <c r="G90" s="25" t="s">
        <v>94</v>
      </c>
      <c r="H90" s="23" t="s">
        <v>87</v>
      </c>
      <c r="I90" s="23" t="n">
        <v>40</v>
      </c>
      <c r="J90" s="23" t="s">
        <v>88</v>
      </c>
      <c r="K90" s="23" t="s">
        <v>179</v>
      </c>
      <c r="L90" s="23" t="n">
        <v>1</v>
      </c>
      <c r="M90" s="23" t="n">
        <v>7</v>
      </c>
      <c r="N90" s="23" t="s">
        <v>179</v>
      </c>
      <c r="O90" s="23" t="n">
        <v>6</v>
      </c>
      <c r="P90" s="23" t="s">
        <v>91</v>
      </c>
      <c r="Q90" s="24" t="s">
        <v>301</v>
      </c>
      <c r="R90" s="26" t="n">
        <f aca="false">IF(N(I90)=0,"",IF(OR(J90="mg/m²",J90="mg/m²/day"),I90*계산기!$C$14,IF(J90="mg/kg",I90*계산기!$C$6,IF(J90="AUC",I90*(계산기!$C$16+25),IF(J90="mg",I90,"")))))</f>
        <v>67.4289749786149</v>
      </c>
      <c r="S90" s="26" t="n">
        <f aca="false">IF(OR(R90="",L90=""),"",R90*L90)</f>
        <v>67.4289749786149</v>
      </c>
      <c r="T90" s="27" t="s">
        <v>92</v>
      </c>
      <c r="U90" s="28" t="s">
        <v>93</v>
      </c>
    </row>
    <row r="91" customFormat="false" ht="22.35" hidden="false" customHeight="false" outlineLevel="0" collapsed="false">
      <c r="A91" s="23" t="s">
        <v>302</v>
      </c>
      <c r="B91" s="23" t="n">
        <v>11</v>
      </c>
      <c r="C91" s="24" t="s">
        <v>297</v>
      </c>
      <c r="D91" s="25" t="s">
        <v>303</v>
      </c>
      <c r="E91" s="23" t="s">
        <v>99</v>
      </c>
      <c r="F91" s="29" t="s">
        <v>304</v>
      </c>
      <c r="G91" s="25" t="s">
        <v>122</v>
      </c>
      <c r="H91" s="23" t="s">
        <v>87</v>
      </c>
      <c r="I91" s="23" t="n">
        <v>175</v>
      </c>
      <c r="J91" s="23" t="s">
        <v>88</v>
      </c>
      <c r="K91" s="23" t="s">
        <v>95</v>
      </c>
      <c r="L91" s="23" t="n">
        <v>1</v>
      </c>
      <c r="M91" s="23" t="n">
        <v>21</v>
      </c>
      <c r="N91" s="23" t="s">
        <v>90</v>
      </c>
      <c r="O91" s="23"/>
      <c r="P91" s="23" t="s">
        <v>91</v>
      </c>
      <c r="Q91" s="25"/>
      <c r="R91" s="26" t="n">
        <f aca="false">IF(N(I91)=0,"",IF(OR(J91="mg/m²",J91="mg/m²/day"),I91*계산기!$C$14,IF(J91="mg/kg",I91*계산기!$C$6,IF(J91="AUC",I91*(계산기!$C$16+25),IF(J91="mg",I91,"")))))</f>
        <v>295.00176553144</v>
      </c>
      <c r="S91" s="26" t="n">
        <f aca="false">IF(OR(R91="",L91=""),"",R91*L91)</f>
        <v>295.00176553144</v>
      </c>
      <c r="T91" s="27" t="s">
        <v>305</v>
      </c>
      <c r="U91" s="30" t="s">
        <v>306</v>
      </c>
    </row>
    <row r="92" customFormat="false" ht="15" hidden="false" customHeight="false" outlineLevel="0" collapsed="false">
      <c r="A92" s="23"/>
      <c r="B92" s="23"/>
      <c r="C92" s="25"/>
      <c r="D92" s="25"/>
      <c r="E92" s="23"/>
      <c r="F92" s="23"/>
      <c r="G92" s="25" t="s">
        <v>94</v>
      </c>
      <c r="H92" s="23" t="s">
        <v>87</v>
      </c>
      <c r="I92" s="23" t="n">
        <v>50</v>
      </c>
      <c r="J92" s="23" t="s">
        <v>88</v>
      </c>
      <c r="K92" s="23" t="s">
        <v>95</v>
      </c>
      <c r="L92" s="23" t="n">
        <v>1</v>
      </c>
      <c r="M92" s="23" t="n">
        <v>21</v>
      </c>
      <c r="N92" s="23" t="s">
        <v>90</v>
      </c>
      <c r="O92" s="23"/>
      <c r="P92" s="23" t="s">
        <v>91</v>
      </c>
      <c r="Q92" s="25"/>
      <c r="R92" s="26" t="n">
        <f aca="false">IF(N(I92)=0,"",IF(OR(J92="mg/m²",J92="mg/m²/day"),I92*계산기!$C$14,IF(J92="mg/kg",I92*계산기!$C$6,IF(J92="AUC",I92*(계산기!$C$16+25),IF(J92="mg",I92,"")))))</f>
        <v>84.2862187232686</v>
      </c>
      <c r="S92" s="26" t="n">
        <f aca="false">IF(OR(R92="",L92=""),"",R92*L92)</f>
        <v>84.2862187232686</v>
      </c>
      <c r="T92" s="27"/>
      <c r="U92" s="30"/>
    </row>
    <row r="93" customFormat="false" ht="15" hidden="false" customHeight="false" outlineLevel="0" collapsed="false">
      <c r="A93" s="23"/>
      <c r="B93" s="23"/>
      <c r="C93" s="25"/>
      <c r="D93" s="25"/>
      <c r="E93" s="23"/>
      <c r="F93" s="23"/>
      <c r="G93" s="25" t="s">
        <v>207</v>
      </c>
      <c r="H93" s="23" t="s">
        <v>106</v>
      </c>
      <c r="I93" s="23" t="n">
        <v>15</v>
      </c>
      <c r="J93" s="23" t="s">
        <v>165</v>
      </c>
      <c r="K93" s="23" t="s">
        <v>95</v>
      </c>
      <c r="L93" s="23" t="n">
        <v>1</v>
      </c>
      <c r="M93" s="23" t="n">
        <v>21</v>
      </c>
      <c r="N93" s="23" t="s">
        <v>90</v>
      </c>
      <c r="O93" s="23"/>
      <c r="P93" s="23" t="s">
        <v>91</v>
      </c>
      <c r="Q93" s="25"/>
      <c r="R93" s="26" t="n">
        <f aca="false">IF(N(I93)=0,"",IF(OR(J93="mg/m²",J93="mg/m²/day"),I93*계산기!$C$14,IF(J93="mg/kg",I93*계산기!$C$6,IF(J93="AUC",I93*(계산기!$C$16+25),IF(J93="mg",I93,"")))))</f>
        <v>930</v>
      </c>
      <c r="S93" s="26" t="n">
        <f aca="false">IF(OR(R93="",L93=""),"",R93*L93)</f>
        <v>930</v>
      </c>
      <c r="T93" s="27"/>
      <c r="U93" s="30"/>
    </row>
    <row r="94" customFormat="false" ht="15" hidden="false" customHeight="false" outlineLevel="0" collapsed="false">
      <c r="A94" s="23" t="s">
        <v>307</v>
      </c>
      <c r="B94" s="23" t="n">
        <v>12</v>
      </c>
      <c r="C94" s="24" t="s">
        <v>308</v>
      </c>
      <c r="D94" s="25" t="s">
        <v>309</v>
      </c>
      <c r="E94" s="23" t="s">
        <v>280</v>
      </c>
      <c r="F94" s="23" t="s">
        <v>85</v>
      </c>
      <c r="G94" s="25" t="s">
        <v>100</v>
      </c>
      <c r="H94" s="23" t="s">
        <v>87</v>
      </c>
      <c r="I94" s="23" t="n">
        <v>5</v>
      </c>
      <c r="J94" s="23" t="s">
        <v>101</v>
      </c>
      <c r="K94" s="23" t="s">
        <v>95</v>
      </c>
      <c r="L94" s="23" t="n">
        <v>1</v>
      </c>
      <c r="M94" s="23" t="n">
        <v>21</v>
      </c>
      <c r="N94" s="23" t="s">
        <v>90</v>
      </c>
      <c r="O94" s="23" t="n">
        <v>6</v>
      </c>
      <c r="P94" s="23" t="s">
        <v>91</v>
      </c>
      <c r="Q94" s="25" t="s">
        <v>102</v>
      </c>
      <c r="R94" s="26" t="n">
        <f aca="false">IF(N(I94)=0,"",IF(OR(J94="mg/m²",J94="mg/m²/day"),I94*계산기!$C$14,IF(J94="mg/kg",I94*계산기!$C$6,IF(J94="AUC",I94*(계산기!$C$16+25),IF(J94="mg",I94,"")))))</f>
        <v>507.716049382716</v>
      </c>
      <c r="S94" s="26" t="n">
        <f aca="false">IF(OR(R94="",L94=""),"",R94*L94)</f>
        <v>507.716049382716</v>
      </c>
      <c r="T94" s="27" t="s">
        <v>305</v>
      </c>
      <c r="U94" s="30" t="s">
        <v>306</v>
      </c>
    </row>
    <row r="95" customFormat="false" ht="15" hidden="false" customHeight="false" outlineLevel="0" collapsed="false">
      <c r="A95" s="23"/>
      <c r="B95" s="23"/>
      <c r="C95" s="25"/>
      <c r="D95" s="25"/>
      <c r="E95" s="23"/>
      <c r="F95" s="23"/>
      <c r="G95" s="25" t="s">
        <v>122</v>
      </c>
      <c r="H95" s="23" t="s">
        <v>87</v>
      </c>
      <c r="I95" s="23" t="n">
        <v>175</v>
      </c>
      <c r="J95" s="23" t="s">
        <v>88</v>
      </c>
      <c r="K95" s="23" t="s">
        <v>95</v>
      </c>
      <c r="L95" s="23" t="n">
        <v>1</v>
      </c>
      <c r="M95" s="23" t="n">
        <v>21</v>
      </c>
      <c r="N95" s="23" t="s">
        <v>90</v>
      </c>
      <c r="O95" s="23" t="n">
        <v>6</v>
      </c>
      <c r="P95" s="23" t="s">
        <v>91</v>
      </c>
      <c r="Q95" s="25"/>
      <c r="R95" s="26" t="n">
        <f aca="false">IF(N(I95)=0,"",IF(OR(J95="mg/m²",J95="mg/m²/day"),I95*계산기!$C$14,IF(J95="mg/kg",I95*계산기!$C$6,IF(J95="AUC",I95*(계산기!$C$16+25),IF(J95="mg",I95,"")))))</f>
        <v>295.00176553144</v>
      </c>
      <c r="S95" s="26" t="n">
        <f aca="false">IF(OR(R95="",L95=""),"",R95*L95)</f>
        <v>295.00176553144</v>
      </c>
      <c r="T95" s="27"/>
      <c r="U95" s="30"/>
    </row>
    <row r="96" customFormat="false" ht="15" hidden="false" customHeight="false" outlineLevel="0" collapsed="false">
      <c r="A96" s="23" t="s">
        <v>310</v>
      </c>
      <c r="B96" s="23" t="n">
        <v>12</v>
      </c>
      <c r="C96" s="24" t="s">
        <v>308</v>
      </c>
      <c r="D96" s="25" t="s">
        <v>311</v>
      </c>
      <c r="E96" s="23" t="s">
        <v>99</v>
      </c>
      <c r="F96" s="23" t="s">
        <v>169</v>
      </c>
      <c r="G96" s="25" t="s">
        <v>189</v>
      </c>
      <c r="H96" s="23" t="s">
        <v>106</v>
      </c>
      <c r="I96" s="23" t="n">
        <v>20</v>
      </c>
      <c r="J96" s="23" t="s">
        <v>107</v>
      </c>
      <c r="K96" s="29" t="s">
        <v>135</v>
      </c>
      <c r="L96" s="23" t="n">
        <v>1</v>
      </c>
      <c r="M96" s="23" t="n">
        <v>1</v>
      </c>
      <c r="N96" s="23" t="s">
        <v>136</v>
      </c>
      <c r="O96" s="29" t="s">
        <v>137</v>
      </c>
      <c r="P96" s="23" t="s">
        <v>138</v>
      </c>
      <c r="Q96" s="25" t="s">
        <v>312</v>
      </c>
      <c r="R96" s="26" t="n">
        <f aca="false">IF(N(I96)=0,"",IF(OR(J96="mg/m²",J96="mg/m²/day"),I96*계산기!$C$14,IF(J96="mg/kg",I96*계산기!$C$6,IF(J96="AUC",I96*(계산기!$C$16+25),IF(J96="mg",I96,"")))))</f>
        <v>20</v>
      </c>
      <c r="S96" s="26" t="n">
        <f aca="false">IF(OR(R96="",L96=""),"",R96*L96)</f>
        <v>20</v>
      </c>
      <c r="T96" s="27" t="s">
        <v>305</v>
      </c>
      <c r="U96" s="30" t="s">
        <v>306</v>
      </c>
    </row>
    <row r="97" customFormat="false" ht="15" hidden="false" customHeight="false" outlineLevel="0" collapsed="false">
      <c r="A97" s="23"/>
      <c r="B97" s="23"/>
      <c r="C97" s="25"/>
      <c r="D97" s="25"/>
      <c r="E97" s="23"/>
      <c r="F97" s="23"/>
      <c r="G97" s="25" t="s">
        <v>131</v>
      </c>
      <c r="H97" s="23" t="s">
        <v>106</v>
      </c>
      <c r="I97" s="23" t="n">
        <v>200</v>
      </c>
      <c r="J97" s="23" t="s">
        <v>107</v>
      </c>
      <c r="K97" s="23" t="s">
        <v>95</v>
      </c>
      <c r="L97" s="23" t="n">
        <v>1</v>
      </c>
      <c r="M97" s="23" t="n">
        <v>21</v>
      </c>
      <c r="N97" s="23" t="s">
        <v>90</v>
      </c>
      <c r="O97" s="23"/>
      <c r="P97" s="23" t="s">
        <v>91</v>
      </c>
      <c r="Q97" s="24" t="s">
        <v>108</v>
      </c>
      <c r="R97" s="26" t="n">
        <f aca="false">IF(N(I97)=0,"",IF(OR(J97="mg/m²",J97="mg/m²/day"),I97*계산기!$C$14,IF(J97="mg/kg",I97*계산기!$C$6,IF(J97="AUC",I97*(계산기!$C$16+25),IF(J97="mg",I97,"")))))</f>
        <v>200</v>
      </c>
      <c r="S97" s="26" t="n">
        <f aca="false">IF(OR(R97="",L97=""),"",R97*L97)</f>
        <v>200</v>
      </c>
      <c r="T97" s="27"/>
      <c r="U97" s="30"/>
    </row>
    <row r="98" customFormat="false" ht="15" hidden="false" customHeight="false" outlineLevel="0" collapsed="false">
      <c r="A98" s="23" t="s">
        <v>313</v>
      </c>
      <c r="B98" s="23" t="n">
        <v>12</v>
      </c>
      <c r="C98" s="24" t="s">
        <v>308</v>
      </c>
      <c r="D98" s="25" t="s">
        <v>314</v>
      </c>
      <c r="E98" s="23" t="s">
        <v>99</v>
      </c>
      <c r="F98" s="23" t="s">
        <v>315</v>
      </c>
      <c r="G98" s="25" t="s">
        <v>314</v>
      </c>
      <c r="H98" s="23" t="s">
        <v>106</v>
      </c>
      <c r="I98" s="23" t="n">
        <v>500</v>
      </c>
      <c r="J98" s="23" t="s">
        <v>107</v>
      </c>
      <c r="K98" s="23" t="s">
        <v>95</v>
      </c>
      <c r="L98" s="23" t="n">
        <v>1</v>
      </c>
      <c r="M98" s="23" t="n">
        <v>21</v>
      </c>
      <c r="N98" s="23" t="s">
        <v>90</v>
      </c>
      <c r="O98" s="23" t="n">
        <v>4</v>
      </c>
      <c r="P98" s="23" t="s">
        <v>91</v>
      </c>
      <c r="Q98" s="24" t="s">
        <v>316</v>
      </c>
      <c r="R98" s="26" t="n">
        <f aca="false">IF(N(I98)=0,"",IF(OR(J98="mg/m²",J98="mg/m²/day"),I98*계산기!$C$14,IF(J98="mg/kg",I98*계산기!$C$6,IF(J98="AUC",I98*(계산기!$C$16+25),IF(J98="mg",I98,"")))))</f>
        <v>500</v>
      </c>
      <c r="S98" s="26" t="n">
        <f aca="false">IF(OR(R98="",L98=""),"",R98*L98)</f>
        <v>500</v>
      </c>
      <c r="T98" s="27" t="s">
        <v>305</v>
      </c>
      <c r="U98" s="30" t="s">
        <v>306</v>
      </c>
    </row>
    <row r="99" customFormat="false" ht="26.85" hidden="false" customHeight="false" outlineLevel="0" collapsed="false">
      <c r="A99" s="23" t="s">
        <v>317</v>
      </c>
      <c r="B99" s="23" t="n">
        <v>13</v>
      </c>
      <c r="C99" s="24" t="s">
        <v>318</v>
      </c>
      <c r="D99" s="25" t="s">
        <v>319</v>
      </c>
      <c r="E99" s="23" t="s">
        <v>99</v>
      </c>
      <c r="F99" s="23" t="s">
        <v>85</v>
      </c>
      <c r="G99" s="25" t="s">
        <v>319</v>
      </c>
      <c r="H99" s="23" t="s">
        <v>106</v>
      </c>
      <c r="I99" s="23" t="n">
        <v>50</v>
      </c>
      <c r="J99" s="23" t="s">
        <v>107</v>
      </c>
      <c r="K99" s="23" t="s">
        <v>320</v>
      </c>
      <c r="L99" s="23" t="n">
        <v>1</v>
      </c>
      <c r="M99" s="23" t="n">
        <v>42</v>
      </c>
      <c r="N99" s="23" t="s">
        <v>321</v>
      </c>
      <c r="O99" s="23"/>
      <c r="P99" s="23" t="s">
        <v>138</v>
      </c>
      <c r="Q99" s="25"/>
      <c r="R99" s="26" t="n">
        <f aca="false">IF(N(I99)=0,"",IF(OR(J99="mg/m²",J99="mg/m²/day"),I99*계산기!$C$14,IF(J99="mg/kg",I99*계산기!$C$6,IF(J99="AUC",I99*(계산기!$C$16+25),IF(J99="mg",I99,"")))))</f>
        <v>50</v>
      </c>
      <c r="S99" s="26" t="n">
        <f aca="false">IF(OR(R99="",L99=""),"",R99*L99)</f>
        <v>50</v>
      </c>
      <c r="T99" s="27" t="s">
        <v>92</v>
      </c>
      <c r="U99" s="28" t="s">
        <v>93</v>
      </c>
    </row>
    <row r="100" customFormat="false" ht="15" hidden="false" customHeight="false" outlineLevel="0" collapsed="false">
      <c r="A100" s="23" t="s">
        <v>322</v>
      </c>
      <c r="B100" s="23" t="n">
        <v>13</v>
      </c>
      <c r="C100" s="24" t="s">
        <v>318</v>
      </c>
      <c r="D100" s="25" t="s">
        <v>323</v>
      </c>
      <c r="E100" s="23" t="s">
        <v>99</v>
      </c>
      <c r="F100" s="23" t="s">
        <v>85</v>
      </c>
      <c r="G100" s="25" t="s">
        <v>323</v>
      </c>
      <c r="H100" s="23" t="s">
        <v>106</v>
      </c>
      <c r="I100" s="23" t="n">
        <v>800</v>
      </c>
      <c r="J100" s="23" t="s">
        <v>107</v>
      </c>
      <c r="K100" s="29" t="s">
        <v>135</v>
      </c>
      <c r="L100" s="23" t="n">
        <v>1</v>
      </c>
      <c r="M100" s="23" t="n">
        <v>1</v>
      </c>
      <c r="N100" s="23" t="s">
        <v>136</v>
      </c>
      <c r="O100" s="29" t="s">
        <v>137</v>
      </c>
      <c r="P100" s="23" t="s">
        <v>138</v>
      </c>
      <c r="Q100" s="25"/>
      <c r="R100" s="26" t="n">
        <f aca="false">IF(N(I100)=0,"",IF(OR(J100="mg/m²",J100="mg/m²/day"),I100*계산기!$C$14,IF(J100="mg/kg",I100*계산기!$C$6,IF(J100="AUC",I100*(계산기!$C$16+25),IF(J100="mg",I100,"")))))</f>
        <v>800</v>
      </c>
      <c r="S100" s="26" t="n">
        <f aca="false">IF(OR(R100="",L100=""),"",R100*L100)</f>
        <v>800</v>
      </c>
      <c r="T100" s="27" t="s">
        <v>92</v>
      </c>
      <c r="U100" s="28" t="s">
        <v>93</v>
      </c>
    </row>
    <row r="101" customFormat="false" ht="15" hidden="false" customHeight="false" outlineLevel="0" collapsed="false">
      <c r="A101" s="23" t="s">
        <v>324</v>
      </c>
      <c r="B101" s="23" t="n">
        <v>13</v>
      </c>
      <c r="C101" s="24" t="s">
        <v>318</v>
      </c>
      <c r="D101" s="25" t="s">
        <v>325</v>
      </c>
      <c r="E101" s="23" t="s">
        <v>99</v>
      </c>
      <c r="F101" s="23" t="s">
        <v>85</v>
      </c>
      <c r="G101" s="25" t="s">
        <v>131</v>
      </c>
      <c r="H101" s="23" t="s">
        <v>106</v>
      </c>
      <c r="I101" s="23" t="n">
        <v>200</v>
      </c>
      <c r="J101" s="23" t="s">
        <v>107</v>
      </c>
      <c r="K101" s="23" t="s">
        <v>95</v>
      </c>
      <c r="L101" s="23" t="n">
        <v>1</v>
      </c>
      <c r="M101" s="23" t="n">
        <v>21</v>
      </c>
      <c r="N101" s="23" t="s">
        <v>90</v>
      </c>
      <c r="O101" s="23"/>
      <c r="P101" s="23" t="s">
        <v>91</v>
      </c>
      <c r="Q101" s="24" t="s">
        <v>108</v>
      </c>
      <c r="R101" s="26" t="n">
        <f aca="false">IF(N(I101)=0,"",IF(OR(J101="mg/m²",J101="mg/m²/day"),I101*계산기!$C$14,IF(J101="mg/kg",I101*계산기!$C$6,IF(J101="AUC",I101*(계산기!$C$16+25),IF(J101="mg",I101,"")))))</f>
        <v>200</v>
      </c>
      <c r="S101" s="26" t="n">
        <f aca="false">IF(OR(R101="",L101=""),"",R101*L101)</f>
        <v>200</v>
      </c>
      <c r="T101" s="27" t="s">
        <v>92</v>
      </c>
      <c r="U101" s="28" t="s">
        <v>93</v>
      </c>
    </row>
    <row r="102" customFormat="false" ht="15" hidden="false" customHeight="false" outlineLevel="0" collapsed="false">
      <c r="A102" s="23"/>
      <c r="B102" s="23"/>
      <c r="C102" s="25"/>
      <c r="D102" s="25"/>
      <c r="E102" s="23"/>
      <c r="F102" s="23"/>
      <c r="G102" s="25" t="s">
        <v>326</v>
      </c>
      <c r="H102" s="23" t="s">
        <v>106</v>
      </c>
      <c r="I102" s="23" t="n">
        <v>5</v>
      </c>
      <c r="J102" s="23" t="s">
        <v>107</v>
      </c>
      <c r="K102" s="23" t="s">
        <v>145</v>
      </c>
      <c r="L102" s="23" t="n">
        <v>2</v>
      </c>
      <c r="M102" s="23" t="n">
        <v>1</v>
      </c>
      <c r="N102" s="23" t="s">
        <v>136</v>
      </c>
      <c r="O102" s="29" t="s">
        <v>137</v>
      </c>
      <c r="P102" s="23" t="s">
        <v>138</v>
      </c>
      <c r="Q102" s="25"/>
      <c r="R102" s="26" t="n">
        <f aca="false">IF(N(I102)=0,"",IF(OR(J102="mg/m²",J102="mg/m²/day"),I102*계산기!$C$14,IF(J102="mg/kg",I102*계산기!$C$6,IF(J102="AUC",I102*(계산기!$C$16+25),IF(J102="mg",I102,"")))))</f>
        <v>5</v>
      </c>
      <c r="S102" s="26" t="n">
        <f aca="false">IF(OR(R102="",L102=""),"",R102*L102)</f>
        <v>10</v>
      </c>
      <c r="T102" s="27"/>
      <c r="U102" s="28"/>
    </row>
    <row r="103" customFormat="false" ht="15" hidden="false" customHeight="false" outlineLevel="0" collapsed="false">
      <c r="A103" s="23" t="s">
        <v>327</v>
      </c>
      <c r="B103" s="23" t="n">
        <v>13</v>
      </c>
      <c r="C103" s="24" t="s">
        <v>318</v>
      </c>
      <c r="D103" s="25" t="s">
        <v>328</v>
      </c>
      <c r="E103" s="23" t="s">
        <v>99</v>
      </c>
      <c r="F103" s="23" t="s">
        <v>142</v>
      </c>
      <c r="G103" s="25" t="s">
        <v>328</v>
      </c>
      <c r="H103" s="23" t="s">
        <v>106</v>
      </c>
      <c r="I103" s="23" t="n">
        <v>60</v>
      </c>
      <c r="J103" s="23" t="s">
        <v>107</v>
      </c>
      <c r="K103" s="29" t="s">
        <v>135</v>
      </c>
      <c r="L103" s="23" t="n">
        <v>1</v>
      </c>
      <c r="M103" s="23" t="n">
        <v>1</v>
      </c>
      <c r="N103" s="23" t="s">
        <v>136</v>
      </c>
      <c r="O103" s="29" t="s">
        <v>137</v>
      </c>
      <c r="P103" s="23" t="s">
        <v>138</v>
      </c>
      <c r="Q103" s="25"/>
      <c r="R103" s="26" t="n">
        <f aca="false">IF(N(I103)=0,"",IF(OR(J103="mg/m²",J103="mg/m²/day"),I103*계산기!$C$14,IF(J103="mg/kg",I103*계산기!$C$6,IF(J103="AUC",I103*(계산기!$C$16+25),IF(J103="mg",I103,"")))))</f>
        <v>60</v>
      </c>
      <c r="S103" s="26" t="n">
        <f aca="false">IF(OR(R103="",L103=""),"",R103*L103)</f>
        <v>60</v>
      </c>
      <c r="T103" s="27" t="s">
        <v>92</v>
      </c>
      <c r="U103" s="28" t="s">
        <v>93</v>
      </c>
    </row>
    <row r="104" customFormat="false" ht="15" hidden="false" customHeight="false" outlineLevel="0" collapsed="false">
      <c r="A104" s="23" t="s">
        <v>329</v>
      </c>
      <c r="B104" s="23" t="n">
        <v>14</v>
      </c>
      <c r="C104" s="24" t="s">
        <v>330</v>
      </c>
      <c r="D104" s="25" t="s">
        <v>331</v>
      </c>
      <c r="E104" s="23" t="s">
        <v>99</v>
      </c>
      <c r="F104" s="23" t="s">
        <v>85</v>
      </c>
      <c r="G104" s="25" t="s">
        <v>125</v>
      </c>
      <c r="H104" s="23" t="s">
        <v>87</v>
      </c>
      <c r="I104" s="23" t="n">
        <v>1000</v>
      </c>
      <c r="J104" s="23" t="s">
        <v>88</v>
      </c>
      <c r="K104" s="23" t="s">
        <v>173</v>
      </c>
      <c r="L104" s="23" t="n">
        <v>3</v>
      </c>
      <c r="M104" s="23" t="n">
        <v>28</v>
      </c>
      <c r="N104" s="23" t="s">
        <v>172</v>
      </c>
      <c r="O104" s="23"/>
      <c r="P104" s="23" t="s">
        <v>91</v>
      </c>
      <c r="Q104" s="25"/>
      <c r="R104" s="26" t="n">
        <f aca="false">IF(N(I104)=0,"",IF(OR(J104="mg/m²",J104="mg/m²/day"),I104*계산기!$C$14,IF(J104="mg/kg",I104*계산기!$C$6,IF(J104="AUC",I104*(계산기!$C$16+25),IF(J104="mg",I104,"")))))</f>
        <v>1685.72437446537</v>
      </c>
      <c r="S104" s="26" t="n">
        <f aca="false">IF(OR(R104="",L104=""),"",R104*L104)</f>
        <v>5057.17312339611</v>
      </c>
      <c r="T104" s="27" t="s">
        <v>305</v>
      </c>
      <c r="U104" s="30" t="s">
        <v>306</v>
      </c>
    </row>
    <row r="105" customFormat="false" ht="15" hidden="false" customHeight="false" outlineLevel="0" collapsed="false">
      <c r="A105" s="23"/>
      <c r="B105" s="23"/>
      <c r="C105" s="25"/>
      <c r="D105" s="25"/>
      <c r="E105" s="23"/>
      <c r="F105" s="23"/>
      <c r="G105" s="25" t="s">
        <v>94</v>
      </c>
      <c r="H105" s="23" t="s">
        <v>87</v>
      </c>
      <c r="I105" s="23" t="n">
        <v>70</v>
      </c>
      <c r="J105" s="23" t="s">
        <v>88</v>
      </c>
      <c r="K105" s="23" t="s">
        <v>95</v>
      </c>
      <c r="L105" s="23" t="n">
        <v>1</v>
      </c>
      <c r="M105" s="23" t="n">
        <v>28</v>
      </c>
      <c r="N105" s="23" t="s">
        <v>172</v>
      </c>
      <c r="O105" s="23"/>
      <c r="P105" s="23" t="s">
        <v>91</v>
      </c>
      <c r="Q105" s="25"/>
      <c r="R105" s="26" t="n">
        <f aca="false">IF(N(I105)=0,"",IF(OR(J105="mg/m²",J105="mg/m²/day"),I105*계산기!$C$14,IF(J105="mg/kg",I105*계산기!$C$6,IF(J105="AUC",I105*(계산기!$C$16+25),IF(J105="mg",I105,"")))))</f>
        <v>118.000706212576</v>
      </c>
      <c r="S105" s="26" t="n">
        <f aca="false">IF(OR(R105="",L105=""),"",R105*L105)</f>
        <v>118.000706212576</v>
      </c>
      <c r="T105" s="27"/>
      <c r="U105" s="30"/>
    </row>
    <row r="106" customFormat="false" ht="15" hidden="false" customHeight="false" outlineLevel="0" collapsed="false">
      <c r="A106" s="23" t="s">
        <v>332</v>
      </c>
      <c r="B106" s="23" t="n">
        <v>14</v>
      </c>
      <c r="C106" s="24" t="s">
        <v>330</v>
      </c>
      <c r="D106" s="25" t="s">
        <v>333</v>
      </c>
      <c r="E106" s="29" t="s">
        <v>283</v>
      </c>
      <c r="F106" s="23" t="s">
        <v>289</v>
      </c>
      <c r="G106" s="25" t="s">
        <v>334</v>
      </c>
      <c r="H106" s="23" t="s">
        <v>106</v>
      </c>
      <c r="I106" s="23" t="n">
        <v>10</v>
      </c>
      <c r="J106" s="23" t="s">
        <v>165</v>
      </c>
      <c r="K106" s="23" t="s">
        <v>171</v>
      </c>
      <c r="L106" s="23" t="n">
        <v>2</v>
      </c>
      <c r="M106" s="23" t="n">
        <v>28</v>
      </c>
      <c r="N106" s="23" t="s">
        <v>151</v>
      </c>
      <c r="O106" s="23"/>
      <c r="P106" s="23" t="s">
        <v>91</v>
      </c>
      <c r="Q106" s="25"/>
      <c r="R106" s="26" t="n">
        <f aca="false">IF(N(I106)=0,"",IF(OR(J106="mg/m²",J106="mg/m²/day"),I106*계산기!$C$14,IF(J106="mg/kg",I106*계산기!$C$6,IF(J106="AUC",I106*(계산기!$C$16+25),IF(J106="mg",I106,"")))))</f>
        <v>620</v>
      </c>
      <c r="S106" s="26" t="n">
        <f aca="false">IF(OR(R106="",L106=""),"",R106*L106)</f>
        <v>1240</v>
      </c>
      <c r="T106" s="27" t="s">
        <v>305</v>
      </c>
      <c r="U106" s="30" t="s">
        <v>306</v>
      </c>
    </row>
    <row r="107" customFormat="false" ht="15" hidden="false" customHeight="false" outlineLevel="0" collapsed="false">
      <c r="A107" s="23" t="s">
        <v>335</v>
      </c>
      <c r="B107" s="23" t="n">
        <v>14</v>
      </c>
      <c r="C107" s="24" t="s">
        <v>330</v>
      </c>
      <c r="D107" s="25" t="s">
        <v>131</v>
      </c>
      <c r="E107" s="23" t="s">
        <v>99</v>
      </c>
      <c r="F107" s="23" t="s">
        <v>169</v>
      </c>
      <c r="G107" s="25" t="s">
        <v>131</v>
      </c>
      <c r="H107" s="23" t="s">
        <v>106</v>
      </c>
      <c r="I107" s="23" t="n">
        <v>200</v>
      </c>
      <c r="J107" s="23" t="s">
        <v>107</v>
      </c>
      <c r="K107" s="23" t="s">
        <v>95</v>
      </c>
      <c r="L107" s="23" t="n">
        <v>1</v>
      </c>
      <c r="M107" s="23" t="n">
        <v>21</v>
      </c>
      <c r="N107" s="23" t="s">
        <v>90</v>
      </c>
      <c r="O107" s="23"/>
      <c r="P107" s="23" t="s">
        <v>91</v>
      </c>
      <c r="Q107" s="24" t="s">
        <v>108</v>
      </c>
      <c r="R107" s="26" t="n">
        <f aca="false">IF(N(I107)=0,"",IF(OR(J107="mg/m²",J107="mg/m²/day"),I107*계산기!$C$14,IF(J107="mg/kg",I107*계산기!$C$6,IF(J107="AUC",I107*(계산기!$C$16+25),IF(J107="mg",I107,"")))))</f>
        <v>200</v>
      </c>
      <c r="S107" s="26" t="n">
        <f aca="false">IF(OR(R107="",L107=""),"",R107*L107)</f>
        <v>200</v>
      </c>
      <c r="T107" s="27" t="s">
        <v>92</v>
      </c>
      <c r="U107" s="28" t="s">
        <v>93</v>
      </c>
    </row>
    <row r="108" customFormat="false" ht="22.35" hidden="false" customHeight="false" outlineLevel="0" collapsed="false">
      <c r="A108" s="23" t="s">
        <v>336</v>
      </c>
      <c r="B108" s="23" t="n">
        <v>15</v>
      </c>
      <c r="C108" s="24" t="s">
        <v>337</v>
      </c>
      <c r="D108" s="25" t="s">
        <v>338</v>
      </c>
      <c r="E108" s="23" t="s">
        <v>99</v>
      </c>
      <c r="F108" s="23" t="s">
        <v>339</v>
      </c>
      <c r="G108" s="25" t="s">
        <v>128</v>
      </c>
      <c r="H108" s="23" t="s">
        <v>87</v>
      </c>
      <c r="I108" s="23" t="n">
        <v>75</v>
      </c>
      <c r="J108" s="23" t="s">
        <v>88</v>
      </c>
      <c r="K108" s="23" t="s">
        <v>95</v>
      </c>
      <c r="L108" s="23" t="n">
        <v>1</v>
      </c>
      <c r="M108" s="23" t="n">
        <v>21</v>
      </c>
      <c r="N108" s="23" t="s">
        <v>90</v>
      </c>
      <c r="O108" s="23"/>
      <c r="P108" s="23" t="s">
        <v>91</v>
      </c>
      <c r="Q108" s="25"/>
      <c r="R108" s="26" t="n">
        <f aca="false">IF(N(I108)=0,"",IF(OR(J108="mg/m²",J108="mg/m²/day"),I108*계산기!$C$14,IF(J108="mg/kg",I108*계산기!$C$6,IF(J108="AUC",I108*(계산기!$C$16+25),IF(J108="mg",I108,"")))))</f>
        <v>126.429328084903</v>
      </c>
      <c r="S108" s="26" t="n">
        <f aca="false">IF(OR(R108="",L108=""),"",R108*L108)</f>
        <v>126.429328084903</v>
      </c>
      <c r="T108" s="27" t="s">
        <v>92</v>
      </c>
      <c r="U108" s="28" t="s">
        <v>93</v>
      </c>
    </row>
    <row r="109" customFormat="false" ht="15" hidden="false" customHeight="false" outlineLevel="0" collapsed="false">
      <c r="A109" s="23"/>
      <c r="B109" s="23"/>
      <c r="C109" s="25"/>
      <c r="D109" s="25"/>
      <c r="E109" s="23"/>
      <c r="F109" s="23"/>
      <c r="G109" s="25" t="s">
        <v>340</v>
      </c>
      <c r="H109" s="23" t="s">
        <v>87</v>
      </c>
      <c r="I109" s="23" t="n">
        <v>10</v>
      </c>
      <c r="J109" s="23" t="s">
        <v>107</v>
      </c>
      <c r="K109" s="29" t="s">
        <v>135</v>
      </c>
      <c r="L109" s="23" t="n">
        <v>1</v>
      </c>
      <c r="M109" s="23" t="n">
        <v>1</v>
      </c>
      <c r="N109" s="23" t="s">
        <v>136</v>
      </c>
      <c r="O109" s="29" t="s">
        <v>137</v>
      </c>
      <c r="P109" s="23" t="s">
        <v>138</v>
      </c>
      <c r="Q109" s="25"/>
      <c r="R109" s="26" t="n">
        <f aca="false">IF(N(I109)=0,"",IF(OR(J109="mg/m²",J109="mg/m²/day"),I109*계산기!$C$14,IF(J109="mg/kg",I109*계산기!$C$6,IF(J109="AUC",I109*(계산기!$C$16+25),IF(J109="mg",I109,"")))))</f>
        <v>10</v>
      </c>
      <c r="S109" s="26" t="n">
        <f aca="false">IF(OR(R109="",L109=""),"",R109*L109)</f>
        <v>10</v>
      </c>
      <c r="T109" s="27"/>
      <c r="U109" s="28"/>
    </row>
    <row r="110" customFormat="false" ht="22.35" hidden="false" customHeight="false" outlineLevel="0" collapsed="false">
      <c r="A110" s="23" t="s">
        <v>341</v>
      </c>
      <c r="B110" s="23" t="n">
        <v>15</v>
      </c>
      <c r="C110" s="24" t="s">
        <v>337</v>
      </c>
      <c r="D110" s="25" t="s">
        <v>342</v>
      </c>
      <c r="E110" s="23" t="s">
        <v>99</v>
      </c>
      <c r="F110" s="23" t="s">
        <v>339</v>
      </c>
      <c r="G110" s="25" t="s">
        <v>343</v>
      </c>
      <c r="H110" s="23" t="s">
        <v>106</v>
      </c>
      <c r="I110" s="23" t="n">
        <v>1000</v>
      </c>
      <c r="J110" s="23" t="s">
        <v>107</v>
      </c>
      <c r="K110" s="29" t="s">
        <v>135</v>
      </c>
      <c r="L110" s="23" t="n">
        <v>1</v>
      </c>
      <c r="M110" s="23" t="n">
        <v>1</v>
      </c>
      <c r="N110" s="23" t="s">
        <v>136</v>
      </c>
      <c r="O110" s="29" t="s">
        <v>137</v>
      </c>
      <c r="P110" s="23" t="s">
        <v>138</v>
      </c>
      <c r="Q110" s="25"/>
      <c r="R110" s="26" t="n">
        <f aca="false">IF(N(I110)=0,"",IF(OR(J110="mg/m²",J110="mg/m²/day"),I110*계산기!$C$14,IF(J110="mg/kg",I110*계산기!$C$6,IF(J110="AUC",I110*(계산기!$C$16+25),IF(J110="mg",I110,"")))))</f>
        <v>1000</v>
      </c>
      <c r="S110" s="26" t="n">
        <f aca="false">IF(OR(R110="",L110=""),"",R110*L110)</f>
        <v>1000</v>
      </c>
      <c r="T110" s="27" t="s">
        <v>92</v>
      </c>
      <c r="U110" s="28" t="s">
        <v>93</v>
      </c>
    </row>
    <row r="111" customFormat="false" ht="15" hidden="false" customHeight="false" outlineLevel="0" collapsed="false">
      <c r="A111" s="23"/>
      <c r="B111" s="23"/>
      <c r="C111" s="25"/>
      <c r="D111" s="25"/>
      <c r="E111" s="23"/>
      <c r="F111" s="23"/>
      <c r="G111" s="25" t="s">
        <v>340</v>
      </c>
      <c r="H111" s="23" t="s">
        <v>87</v>
      </c>
      <c r="I111" s="23" t="n">
        <v>10</v>
      </c>
      <c r="J111" s="23" t="s">
        <v>107</v>
      </c>
      <c r="K111" s="29" t="s">
        <v>135</v>
      </c>
      <c r="L111" s="23" t="n">
        <v>1</v>
      </c>
      <c r="M111" s="23" t="n">
        <v>1</v>
      </c>
      <c r="N111" s="23" t="s">
        <v>136</v>
      </c>
      <c r="O111" s="29" t="s">
        <v>137</v>
      </c>
      <c r="P111" s="23" t="s">
        <v>138</v>
      </c>
      <c r="Q111" s="25"/>
      <c r="R111" s="26" t="n">
        <f aca="false">IF(N(I111)=0,"",IF(OR(J111="mg/m²",J111="mg/m²/day"),I111*계산기!$C$14,IF(J111="mg/kg",I111*계산기!$C$6,IF(J111="AUC",I111*(계산기!$C$16+25),IF(J111="mg",I111,"")))))</f>
        <v>10</v>
      </c>
      <c r="S111" s="26" t="n">
        <f aca="false">IF(OR(R111="",L111=""),"",R111*L111)</f>
        <v>10</v>
      </c>
      <c r="T111" s="27"/>
      <c r="U111" s="28"/>
    </row>
    <row r="112" customFormat="false" ht="22.35" hidden="false" customHeight="false" outlineLevel="0" collapsed="false">
      <c r="A112" s="23" t="s">
        <v>344</v>
      </c>
      <c r="B112" s="23" t="n">
        <v>15</v>
      </c>
      <c r="C112" s="24" t="s">
        <v>337</v>
      </c>
      <c r="D112" s="25" t="s">
        <v>345</v>
      </c>
      <c r="E112" s="23" t="s">
        <v>99</v>
      </c>
      <c r="F112" s="23" t="s">
        <v>339</v>
      </c>
      <c r="G112" s="25" t="s">
        <v>345</v>
      </c>
      <c r="H112" s="23" t="s">
        <v>106</v>
      </c>
      <c r="I112" s="23" t="n">
        <v>160</v>
      </c>
      <c r="J112" s="23" t="s">
        <v>107</v>
      </c>
      <c r="K112" s="29" t="s">
        <v>135</v>
      </c>
      <c r="L112" s="23" t="n">
        <v>1</v>
      </c>
      <c r="M112" s="23" t="n">
        <v>1</v>
      </c>
      <c r="N112" s="23" t="s">
        <v>136</v>
      </c>
      <c r="O112" s="29" t="s">
        <v>137</v>
      </c>
      <c r="P112" s="23" t="s">
        <v>138</v>
      </c>
      <c r="Q112" s="25"/>
      <c r="R112" s="26" t="n">
        <f aca="false">IF(N(I112)=0,"",IF(OR(J112="mg/m²",J112="mg/m²/day"),I112*계산기!$C$14,IF(J112="mg/kg",I112*계산기!$C$6,IF(J112="AUC",I112*(계산기!$C$16+25),IF(J112="mg",I112,"")))))</f>
        <v>160</v>
      </c>
      <c r="S112" s="26" t="n">
        <f aca="false">IF(OR(R112="",L112=""),"",R112*L112)</f>
        <v>160</v>
      </c>
      <c r="T112" s="27" t="s">
        <v>92</v>
      </c>
      <c r="U112" s="28" t="s">
        <v>93</v>
      </c>
    </row>
    <row r="113" customFormat="false" ht="24.6" hidden="false" customHeight="false" outlineLevel="0" collapsed="false">
      <c r="A113" s="23" t="s">
        <v>346</v>
      </c>
      <c r="B113" s="23" t="n">
        <v>15</v>
      </c>
      <c r="C113" s="24" t="s">
        <v>337</v>
      </c>
      <c r="D113" s="25" t="s">
        <v>347</v>
      </c>
      <c r="E113" s="23" t="s">
        <v>99</v>
      </c>
      <c r="F113" s="23" t="s">
        <v>348</v>
      </c>
      <c r="G113" s="25" t="s">
        <v>349</v>
      </c>
      <c r="H113" s="23" t="s">
        <v>106</v>
      </c>
      <c r="I113" s="23" t="n">
        <v>25</v>
      </c>
      <c r="J113" s="23" t="s">
        <v>88</v>
      </c>
      <c r="K113" s="23" t="s">
        <v>95</v>
      </c>
      <c r="L113" s="23" t="n">
        <v>1</v>
      </c>
      <c r="M113" s="23" t="n">
        <v>21</v>
      </c>
      <c r="N113" s="23" t="s">
        <v>90</v>
      </c>
      <c r="O113" s="23"/>
      <c r="P113" s="23" t="s">
        <v>91</v>
      </c>
      <c r="Q113" s="25" t="s">
        <v>350</v>
      </c>
      <c r="R113" s="26" t="n">
        <f aca="false">IF(N(I113)=0,"",IF(OR(J113="mg/m²",J113="mg/m²/day"),I113*계산기!$C$14,IF(J113="mg/kg",I113*계산기!$C$6,IF(J113="AUC",I113*(계산기!$C$16+25),IF(J113="mg",I113,"")))))</f>
        <v>42.1431093616343</v>
      </c>
      <c r="S113" s="26" t="n">
        <f aca="false">IF(OR(R113="",L113=""),"",R113*L113)</f>
        <v>42.1431093616343</v>
      </c>
      <c r="T113" s="27" t="s">
        <v>92</v>
      </c>
      <c r="U113" s="28" t="s">
        <v>93</v>
      </c>
    </row>
    <row r="114" customFormat="false" ht="15" hidden="false" customHeight="false" outlineLevel="0" collapsed="false">
      <c r="A114" s="23"/>
      <c r="B114" s="23"/>
      <c r="C114" s="25"/>
      <c r="D114" s="25"/>
      <c r="E114" s="23"/>
      <c r="F114" s="23"/>
      <c r="G114" s="25" t="s">
        <v>340</v>
      </c>
      <c r="H114" s="23" t="s">
        <v>87</v>
      </c>
      <c r="I114" s="23" t="n">
        <v>10</v>
      </c>
      <c r="J114" s="23" t="s">
        <v>107</v>
      </c>
      <c r="K114" s="29" t="s">
        <v>135</v>
      </c>
      <c r="L114" s="23" t="n">
        <v>1</v>
      </c>
      <c r="M114" s="23" t="n">
        <v>1</v>
      </c>
      <c r="N114" s="23" t="s">
        <v>136</v>
      </c>
      <c r="O114" s="29" t="s">
        <v>137</v>
      </c>
      <c r="P114" s="23" t="s">
        <v>138</v>
      </c>
      <c r="Q114" s="25"/>
      <c r="R114" s="26" t="n">
        <f aca="false">IF(N(I114)=0,"",IF(OR(J114="mg/m²",J114="mg/m²/day"),I114*계산기!$C$14,IF(J114="mg/kg",I114*계산기!$C$6,IF(J114="AUC",I114*(계산기!$C$16+25),IF(J114="mg",I114,"")))))</f>
        <v>10</v>
      </c>
      <c r="S114" s="26" t="n">
        <f aca="false">IF(OR(R114="",L114=""),"",R114*L114)</f>
        <v>10</v>
      </c>
      <c r="T114" s="27"/>
      <c r="U114" s="28"/>
    </row>
    <row r="115" customFormat="false" ht="26.85" hidden="false" customHeight="false" outlineLevel="0" collapsed="false">
      <c r="A115" s="23" t="s">
        <v>351</v>
      </c>
      <c r="B115" s="23" t="n">
        <v>16</v>
      </c>
      <c r="C115" s="24" t="s">
        <v>352</v>
      </c>
      <c r="D115" s="25" t="s">
        <v>298</v>
      </c>
      <c r="E115" s="23" t="s">
        <v>299</v>
      </c>
      <c r="F115" s="29" t="s">
        <v>300</v>
      </c>
      <c r="G115" s="25" t="s">
        <v>94</v>
      </c>
      <c r="H115" s="23" t="s">
        <v>87</v>
      </c>
      <c r="I115" s="23" t="n">
        <v>100</v>
      </c>
      <c r="J115" s="23" t="s">
        <v>88</v>
      </c>
      <c r="K115" s="23" t="s">
        <v>353</v>
      </c>
      <c r="L115" s="23" t="n">
        <v>3</v>
      </c>
      <c r="M115" s="23" t="n">
        <v>21</v>
      </c>
      <c r="N115" s="23" t="s">
        <v>90</v>
      </c>
      <c r="O115" s="23" t="n">
        <v>3</v>
      </c>
      <c r="P115" s="23" t="s">
        <v>91</v>
      </c>
      <c r="Q115" s="24" t="s">
        <v>354</v>
      </c>
      <c r="R115" s="26" t="n">
        <f aca="false">IF(N(I115)=0,"",IF(OR(J115="mg/m²",J115="mg/m²/day"),I115*계산기!$C$14,IF(J115="mg/kg",I115*계산기!$C$6,IF(J115="AUC",I115*(계산기!$C$16+25),IF(J115="mg",I115,"")))))</f>
        <v>168.572437446537</v>
      </c>
      <c r="S115" s="26" t="n">
        <f aca="false">IF(OR(R115="",L115=""),"",R115*L115)</f>
        <v>505.717312339611</v>
      </c>
      <c r="T115" s="27" t="s">
        <v>92</v>
      </c>
      <c r="U115" s="28" t="s">
        <v>93</v>
      </c>
    </row>
    <row r="116" customFormat="false" ht="15" hidden="false" customHeight="false" outlineLevel="0" collapsed="false">
      <c r="A116" s="23" t="s">
        <v>355</v>
      </c>
      <c r="B116" s="23" t="n">
        <v>16</v>
      </c>
      <c r="C116" s="24" t="s">
        <v>352</v>
      </c>
      <c r="D116" s="25" t="s">
        <v>356</v>
      </c>
      <c r="E116" s="23" t="s">
        <v>177</v>
      </c>
      <c r="F116" s="29" t="s">
        <v>357</v>
      </c>
      <c r="G116" s="25" t="s">
        <v>128</v>
      </c>
      <c r="H116" s="23" t="s">
        <v>87</v>
      </c>
      <c r="I116" s="23" t="n">
        <v>75</v>
      </c>
      <c r="J116" s="23" t="s">
        <v>88</v>
      </c>
      <c r="K116" s="23" t="s">
        <v>95</v>
      </c>
      <c r="L116" s="23" t="n">
        <v>1</v>
      </c>
      <c r="M116" s="23" t="n">
        <v>21</v>
      </c>
      <c r="N116" s="23" t="s">
        <v>90</v>
      </c>
      <c r="O116" s="23" t="n">
        <v>3</v>
      </c>
      <c r="P116" s="23" t="s">
        <v>91</v>
      </c>
      <c r="Q116" s="25"/>
      <c r="R116" s="26" t="n">
        <f aca="false">IF(N(I116)=0,"",IF(OR(J116="mg/m²",J116="mg/m²/day"),I116*계산기!$C$14,IF(J116="mg/kg",I116*계산기!$C$6,IF(J116="AUC",I116*(계산기!$C$16+25),IF(J116="mg",I116,"")))))</f>
        <v>126.429328084903</v>
      </c>
      <c r="S116" s="26" t="n">
        <f aca="false">IF(OR(R116="",L116=""),"",R116*L116)</f>
        <v>126.429328084903</v>
      </c>
      <c r="T116" s="27" t="s">
        <v>92</v>
      </c>
      <c r="U116" s="28" t="s">
        <v>93</v>
      </c>
    </row>
    <row r="117" customFormat="false" ht="15" hidden="false" customHeight="false" outlineLevel="0" collapsed="false">
      <c r="A117" s="23"/>
      <c r="B117" s="23"/>
      <c r="C117" s="25"/>
      <c r="D117" s="25"/>
      <c r="E117" s="23"/>
      <c r="F117" s="23"/>
      <c r="G117" s="25" t="s">
        <v>94</v>
      </c>
      <c r="H117" s="23" t="s">
        <v>87</v>
      </c>
      <c r="I117" s="23" t="n">
        <v>75</v>
      </c>
      <c r="J117" s="23" t="s">
        <v>88</v>
      </c>
      <c r="K117" s="23" t="s">
        <v>95</v>
      </c>
      <c r="L117" s="23" t="n">
        <v>1</v>
      </c>
      <c r="M117" s="23" t="n">
        <v>21</v>
      </c>
      <c r="N117" s="23" t="s">
        <v>90</v>
      </c>
      <c r="O117" s="23" t="n">
        <v>3</v>
      </c>
      <c r="P117" s="23" t="s">
        <v>91</v>
      </c>
      <c r="Q117" s="25"/>
      <c r="R117" s="26" t="n">
        <f aca="false">IF(N(I117)=0,"",IF(OR(J117="mg/m²",J117="mg/m²/day"),I117*계산기!$C$14,IF(J117="mg/kg",I117*계산기!$C$6,IF(J117="AUC",I117*(계산기!$C$16+25),IF(J117="mg",I117,"")))))</f>
        <v>126.429328084903</v>
      </c>
      <c r="S117" s="26" t="n">
        <f aca="false">IF(OR(R117="",L117=""),"",R117*L117)</f>
        <v>126.429328084903</v>
      </c>
      <c r="T117" s="27"/>
      <c r="U117" s="28"/>
    </row>
    <row r="118" customFormat="false" ht="15" hidden="false" customHeight="false" outlineLevel="0" collapsed="false">
      <c r="A118" s="23"/>
      <c r="B118" s="23"/>
      <c r="C118" s="25"/>
      <c r="D118" s="25"/>
      <c r="E118" s="23"/>
      <c r="F118" s="23"/>
      <c r="G118" s="25" t="s">
        <v>154</v>
      </c>
      <c r="H118" s="23" t="s">
        <v>87</v>
      </c>
      <c r="I118" s="23" t="n">
        <v>750</v>
      </c>
      <c r="J118" s="23" t="s">
        <v>88</v>
      </c>
      <c r="K118" s="23" t="s">
        <v>113</v>
      </c>
      <c r="L118" s="23" t="n">
        <v>1</v>
      </c>
      <c r="M118" s="23" t="n">
        <v>21</v>
      </c>
      <c r="N118" s="23" t="s">
        <v>90</v>
      </c>
      <c r="O118" s="23" t="n">
        <v>3</v>
      </c>
      <c r="P118" s="23" t="s">
        <v>91</v>
      </c>
      <c r="Q118" s="24" t="s">
        <v>186</v>
      </c>
      <c r="R118" s="26" t="n">
        <f aca="false">IF(N(I118)=0,"",IF(OR(J118="mg/m²",J118="mg/m²/day"),I118*계산기!$C$14,IF(J118="mg/kg",I118*계산기!$C$6,IF(J118="AUC",I118*(계산기!$C$16+25),IF(J118="mg",I118,"")))))</f>
        <v>1264.29328084903</v>
      </c>
      <c r="S118" s="26" t="n">
        <f aca="false">IF(OR(R118="",L118=""),"",R118*L118)</f>
        <v>1264.29328084903</v>
      </c>
      <c r="T118" s="27"/>
      <c r="U118" s="28"/>
    </row>
    <row r="119" customFormat="false" ht="26.85" hidden="false" customHeight="false" outlineLevel="0" collapsed="false">
      <c r="A119" s="23" t="s">
        <v>358</v>
      </c>
      <c r="B119" s="23" t="n">
        <v>16</v>
      </c>
      <c r="C119" s="24" t="s">
        <v>352</v>
      </c>
      <c r="D119" s="25" t="s">
        <v>359</v>
      </c>
      <c r="E119" s="23" t="s">
        <v>99</v>
      </c>
      <c r="F119" s="29" t="s">
        <v>360</v>
      </c>
      <c r="G119" s="25" t="s">
        <v>131</v>
      </c>
      <c r="H119" s="23" t="s">
        <v>106</v>
      </c>
      <c r="I119" s="23" t="n">
        <v>200</v>
      </c>
      <c r="J119" s="23" t="s">
        <v>107</v>
      </c>
      <c r="K119" s="23" t="s">
        <v>95</v>
      </c>
      <c r="L119" s="23" t="n">
        <v>1</v>
      </c>
      <c r="M119" s="23" t="n">
        <v>21</v>
      </c>
      <c r="N119" s="23" t="s">
        <v>90</v>
      </c>
      <c r="O119" s="23"/>
      <c r="P119" s="23" t="s">
        <v>91</v>
      </c>
      <c r="Q119" s="24" t="s">
        <v>108</v>
      </c>
      <c r="R119" s="26" t="n">
        <f aca="false">IF(N(I119)=0,"",IF(OR(J119="mg/m²",J119="mg/m²/day"),I119*계산기!$C$14,IF(J119="mg/kg",I119*계산기!$C$6,IF(J119="AUC",I119*(계산기!$C$16+25),IF(J119="mg",I119,"")))))</f>
        <v>200</v>
      </c>
      <c r="S119" s="26" t="n">
        <f aca="false">IF(OR(R119="",L119=""),"",R119*L119)</f>
        <v>200</v>
      </c>
      <c r="T119" s="27" t="s">
        <v>92</v>
      </c>
      <c r="U119" s="28" t="s">
        <v>93</v>
      </c>
    </row>
    <row r="120" customFormat="false" ht="15" hidden="false" customHeight="false" outlineLevel="0" collapsed="false">
      <c r="A120" s="23"/>
      <c r="B120" s="23"/>
      <c r="C120" s="25"/>
      <c r="D120" s="25"/>
      <c r="E120" s="23"/>
      <c r="F120" s="23"/>
      <c r="G120" s="25" t="s">
        <v>94</v>
      </c>
      <c r="H120" s="23" t="s">
        <v>87</v>
      </c>
      <c r="I120" s="23" t="n">
        <v>100</v>
      </c>
      <c r="J120" s="23" t="s">
        <v>88</v>
      </c>
      <c r="K120" s="23" t="s">
        <v>95</v>
      </c>
      <c r="L120" s="23" t="n">
        <v>1</v>
      </c>
      <c r="M120" s="23" t="n">
        <v>21</v>
      </c>
      <c r="N120" s="23" t="s">
        <v>90</v>
      </c>
      <c r="O120" s="23" t="n">
        <v>6</v>
      </c>
      <c r="P120" s="23" t="s">
        <v>91</v>
      </c>
      <c r="Q120" s="25"/>
      <c r="R120" s="26" t="n">
        <f aca="false">IF(N(I120)=0,"",IF(OR(J120="mg/m²",J120="mg/m²/day"),I120*계산기!$C$14,IF(J120="mg/kg",I120*계산기!$C$6,IF(J120="AUC",I120*(계산기!$C$16+25),IF(J120="mg",I120,"")))))</f>
        <v>168.572437446537</v>
      </c>
      <c r="S120" s="26" t="n">
        <f aca="false">IF(OR(R120="",L120=""),"",R120*L120)</f>
        <v>168.572437446537</v>
      </c>
      <c r="T120" s="27"/>
      <c r="U120" s="28"/>
    </row>
    <row r="121" customFormat="false" ht="15" hidden="false" customHeight="false" outlineLevel="0" collapsed="false">
      <c r="A121" s="23"/>
      <c r="B121" s="23"/>
      <c r="C121" s="25"/>
      <c r="D121" s="25"/>
      <c r="E121" s="23"/>
      <c r="F121" s="23"/>
      <c r="G121" s="25" t="s">
        <v>154</v>
      </c>
      <c r="H121" s="23" t="s">
        <v>87</v>
      </c>
      <c r="I121" s="23" t="n">
        <v>1000</v>
      </c>
      <c r="J121" s="23" t="s">
        <v>88</v>
      </c>
      <c r="K121" s="23" t="s">
        <v>185</v>
      </c>
      <c r="L121" s="23" t="n">
        <v>1</v>
      </c>
      <c r="M121" s="23" t="n">
        <v>21</v>
      </c>
      <c r="N121" s="23" t="s">
        <v>90</v>
      </c>
      <c r="O121" s="23" t="n">
        <v>6</v>
      </c>
      <c r="P121" s="23" t="s">
        <v>91</v>
      </c>
      <c r="Q121" s="25"/>
      <c r="R121" s="26" t="n">
        <f aca="false">IF(N(I121)=0,"",IF(OR(J121="mg/m²",J121="mg/m²/day"),I121*계산기!$C$14,IF(J121="mg/kg",I121*계산기!$C$6,IF(J121="AUC",I121*(계산기!$C$16+25),IF(J121="mg",I121,"")))))</f>
        <v>1685.72437446537</v>
      </c>
      <c r="S121" s="26" t="n">
        <f aca="false">IF(OR(R121="",L121=""),"",R121*L121)</f>
        <v>1685.72437446537</v>
      </c>
      <c r="T121" s="27"/>
      <c r="U121" s="28"/>
    </row>
    <row r="122" customFormat="false" ht="15" hidden="false" customHeight="false" outlineLevel="0" collapsed="false">
      <c r="A122" s="23" t="s">
        <v>361</v>
      </c>
      <c r="B122" s="23" t="n">
        <v>17.1</v>
      </c>
      <c r="C122" s="24" t="s">
        <v>362</v>
      </c>
      <c r="D122" s="25" t="s">
        <v>363</v>
      </c>
      <c r="E122" s="23" t="s">
        <v>364</v>
      </c>
      <c r="F122" s="29" t="s">
        <v>365</v>
      </c>
      <c r="G122" s="25" t="s">
        <v>363</v>
      </c>
      <c r="H122" s="23" t="s">
        <v>106</v>
      </c>
      <c r="I122" s="23" t="n">
        <v>30</v>
      </c>
      <c r="J122" s="23" t="s">
        <v>107</v>
      </c>
      <c r="K122" s="23" t="s">
        <v>95</v>
      </c>
      <c r="L122" s="23" t="n">
        <v>1</v>
      </c>
      <c r="M122" s="23" t="n">
        <v>28</v>
      </c>
      <c r="N122" s="23" t="s">
        <v>172</v>
      </c>
      <c r="O122" s="23"/>
      <c r="P122" s="23" t="s">
        <v>366</v>
      </c>
      <c r="Q122" s="25"/>
      <c r="R122" s="26" t="n">
        <f aca="false">IF(N(I122)=0,"",IF(OR(J122="mg/m²",J122="mg/m²/day"),I122*계산기!$C$14,IF(J122="mg/kg",I122*계산기!$C$6,IF(J122="AUC",I122*(계산기!$C$16+25),IF(J122="mg",I122,"")))))</f>
        <v>30</v>
      </c>
      <c r="S122" s="26" t="n">
        <f aca="false">IF(OR(R122="",L122=""),"",R122*L122)</f>
        <v>30</v>
      </c>
      <c r="T122" s="27" t="s">
        <v>305</v>
      </c>
      <c r="U122" s="30" t="s">
        <v>306</v>
      </c>
    </row>
    <row r="123" customFormat="false" ht="15" hidden="false" customHeight="false" outlineLevel="0" collapsed="false">
      <c r="A123" s="23" t="s">
        <v>367</v>
      </c>
      <c r="B123" s="23" t="n">
        <v>17.1</v>
      </c>
      <c r="C123" s="24" t="s">
        <v>362</v>
      </c>
      <c r="D123" s="25" t="s">
        <v>368</v>
      </c>
      <c r="E123" s="23" t="s">
        <v>364</v>
      </c>
      <c r="F123" s="29" t="s">
        <v>369</v>
      </c>
      <c r="G123" s="25" t="s">
        <v>370</v>
      </c>
      <c r="H123" s="23" t="s">
        <v>106</v>
      </c>
      <c r="I123" s="23" t="n">
        <v>120</v>
      </c>
      <c r="J123" s="23" t="s">
        <v>107</v>
      </c>
      <c r="K123" s="23" t="s">
        <v>95</v>
      </c>
      <c r="L123" s="23" t="n">
        <v>1</v>
      </c>
      <c r="M123" s="23" t="n">
        <v>28</v>
      </c>
      <c r="N123" s="23" t="s">
        <v>172</v>
      </c>
      <c r="O123" s="23"/>
      <c r="P123" s="23" t="s">
        <v>371</v>
      </c>
      <c r="Q123" s="25"/>
      <c r="R123" s="26" t="n">
        <f aca="false">IF(N(I123)=0,"",IF(OR(J123="mg/m²",J123="mg/m²/day"),I123*계산기!$C$14,IF(J123="mg/kg",I123*계산기!$C$6,IF(J123="AUC",I123*(계산기!$C$16+25),IF(J123="mg",I123,"")))))</f>
        <v>120</v>
      </c>
      <c r="S123" s="26" t="n">
        <f aca="false">IF(OR(R123="",L123=""),"",R123*L123)</f>
        <v>120</v>
      </c>
      <c r="T123" s="27" t="s">
        <v>305</v>
      </c>
      <c r="U123" s="30" t="s">
        <v>306</v>
      </c>
    </row>
    <row r="124" customFormat="false" ht="15" hidden="false" customHeight="false" outlineLevel="0" collapsed="false">
      <c r="A124" s="23" t="s">
        <v>372</v>
      </c>
      <c r="B124" s="23" t="n">
        <v>17.1</v>
      </c>
      <c r="C124" s="24" t="s">
        <v>362</v>
      </c>
      <c r="D124" s="25" t="s">
        <v>373</v>
      </c>
      <c r="E124" s="23" t="s">
        <v>99</v>
      </c>
      <c r="F124" s="29" t="s">
        <v>369</v>
      </c>
      <c r="G124" s="25" t="s">
        <v>373</v>
      </c>
      <c r="H124" s="23" t="s">
        <v>106</v>
      </c>
      <c r="I124" s="23" t="n">
        <v>10</v>
      </c>
      <c r="J124" s="23" t="s">
        <v>107</v>
      </c>
      <c r="K124" s="29" t="s">
        <v>135</v>
      </c>
      <c r="L124" s="23" t="n">
        <v>1</v>
      </c>
      <c r="M124" s="23" t="n">
        <v>1</v>
      </c>
      <c r="N124" s="23" t="s">
        <v>136</v>
      </c>
      <c r="O124" s="29" t="s">
        <v>137</v>
      </c>
      <c r="P124" s="23" t="s">
        <v>138</v>
      </c>
      <c r="Q124" s="25"/>
      <c r="R124" s="26" t="n">
        <f aca="false">IF(N(I124)=0,"",IF(OR(J124="mg/m²",J124="mg/m²/day"),I124*계산기!$C$14,IF(J124="mg/kg",I124*계산기!$C$6,IF(J124="AUC",I124*(계산기!$C$16+25),IF(J124="mg",I124,"")))))</f>
        <v>10</v>
      </c>
      <c r="S124" s="26" t="n">
        <f aca="false">IF(OR(R124="",L124=""),"",R124*L124)</f>
        <v>10</v>
      </c>
      <c r="T124" s="27" t="s">
        <v>305</v>
      </c>
      <c r="U124" s="30" t="s">
        <v>306</v>
      </c>
    </row>
    <row r="125" customFormat="false" ht="22.35" hidden="false" customHeight="false" outlineLevel="0" collapsed="false">
      <c r="A125" s="23" t="s">
        <v>374</v>
      </c>
      <c r="B125" s="23" t="n">
        <v>17.1</v>
      </c>
      <c r="C125" s="24" t="s">
        <v>362</v>
      </c>
      <c r="D125" s="25" t="s">
        <v>375</v>
      </c>
      <c r="E125" s="23" t="s">
        <v>99</v>
      </c>
      <c r="F125" s="23" t="s">
        <v>376</v>
      </c>
      <c r="G125" s="25" t="s">
        <v>377</v>
      </c>
      <c r="H125" s="23" t="s">
        <v>106</v>
      </c>
      <c r="I125" s="23" t="n">
        <v>7400</v>
      </c>
      <c r="J125" s="23" t="s">
        <v>378</v>
      </c>
      <c r="K125" s="23" t="s">
        <v>95</v>
      </c>
      <c r="L125" s="23" t="n">
        <v>1</v>
      </c>
      <c r="M125" s="23" t="n">
        <v>56</v>
      </c>
      <c r="N125" s="23" t="s">
        <v>379</v>
      </c>
      <c r="O125" s="23" t="n">
        <v>4</v>
      </c>
      <c r="P125" s="23" t="s">
        <v>91</v>
      </c>
      <c r="Q125" s="24" t="s">
        <v>380</v>
      </c>
      <c r="R125" s="26" t="str">
        <f aca="false">IF(N(I125)=0,"",IF(OR(J125="mg/m²",J125="mg/m²/day"),I125*계산기!$C$14,IF(J125="mg/kg",I125*계산기!$C$6,IF(J125="AUC",I125*(계산기!$C$16+25),IF(J125="mg",I125,"")))))</f>
        <v/>
      </c>
      <c r="S125" s="26" t="str">
        <f aca="false">IF(OR(R125="",L125=""),"",R125*L125)</f>
        <v/>
      </c>
      <c r="T125" s="27" t="s">
        <v>305</v>
      </c>
      <c r="U125" s="30" t="s">
        <v>306</v>
      </c>
    </row>
    <row r="126" customFormat="false" ht="15" hidden="false" customHeight="false" outlineLevel="0" collapsed="false">
      <c r="A126" s="23" t="s">
        <v>381</v>
      </c>
      <c r="B126" s="23" t="n">
        <v>19</v>
      </c>
      <c r="C126" s="24" t="s">
        <v>382</v>
      </c>
      <c r="D126" s="25" t="s">
        <v>383</v>
      </c>
      <c r="E126" s="23" t="s">
        <v>244</v>
      </c>
      <c r="F126" s="29" t="s">
        <v>245</v>
      </c>
      <c r="G126" s="25" t="s">
        <v>384</v>
      </c>
      <c r="H126" s="23" t="s">
        <v>87</v>
      </c>
      <c r="I126" s="23" t="n">
        <v>12</v>
      </c>
      <c r="J126" s="23" t="s">
        <v>385</v>
      </c>
      <c r="K126" s="23" t="s">
        <v>179</v>
      </c>
      <c r="L126" s="23" t="n">
        <v>1</v>
      </c>
      <c r="M126" s="23" t="n">
        <v>7</v>
      </c>
      <c r="N126" s="23" t="s">
        <v>179</v>
      </c>
      <c r="O126" s="23"/>
      <c r="P126" s="23" t="s">
        <v>91</v>
      </c>
      <c r="Q126" s="24" t="s">
        <v>386</v>
      </c>
      <c r="R126" s="26" t="str">
        <f aca="false">IF(N(I126)=0,"",IF(OR(J126="mg/m²",J126="mg/m²/day"),I126*계산기!$C$14,IF(J126="mg/kg",I126*계산기!$C$6,IF(J126="AUC",I126*(계산기!$C$16+25),IF(J126="mg",I126,"")))))</f>
        <v/>
      </c>
      <c r="S126" s="26" t="str">
        <f aca="false">IF(OR(R126="",L126=""),"",R126*L126)</f>
        <v/>
      </c>
      <c r="T126" s="27" t="s">
        <v>305</v>
      </c>
      <c r="U126" s="30" t="s">
        <v>306</v>
      </c>
    </row>
    <row r="127" customFormat="false" ht="15" hidden="false" customHeight="false" outlineLevel="0" collapsed="false">
      <c r="A127" s="23"/>
      <c r="B127" s="23"/>
      <c r="C127" s="25"/>
      <c r="D127" s="25"/>
      <c r="E127" s="23"/>
      <c r="F127" s="23"/>
      <c r="G127" s="25" t="s">
        <v>246</v>
      </c>
      <c r="H127" s="23" t="s">
        <v>87</v>
      </c>
      <c r="I127" s="23" t="n">
        <v>37.5</v>
      </c>
      <c r="J127" s="23" t="s">
        <v>88</v>
      </c>
      <c r="K127" s="23" t="s">
        <v>155</v>
      </c>
      <c r="L127" s="23" t="n">
        <v>2</v>
      </c>
      <c r="M127" s="23" t="n">
        <v>1</v>
      </c>
      <c r="N127" s="23" t="s">
        <v>299</v>
      </c>
      <c r="O127" s="23"/>
      <c r="P127" s="23" t="s">
        <v>91</v>
      </c>
      <c r="Q127" s="25"/>
      <c r="R127" s="26" t="n">
        <f aca="false">IF(N(I127)=0,"",IF(OR(J127="mg/m²",J127="mg/m²/day"),I127*계산기!$C$14,IF(J127="mg/kg",I127*계산기!$C$6,IF(J127="AUC",I127*(계산기!$C$16+25),IF(J127="mg",I127,"")))))</f>
        <v>63.2146640424514</v>
      </c>
      <c r="S127" s="26" t="n">
        <f aca="false">IF(OR(R127="",L127=""),"",R127*L127)</f>
        <v>126.429328084903</v>
      </c>
      <c r="T127" s="27"/>
      <c r="U127" s="30"/>
    </row>
    <row r="128" customFormat="false" ht="15" hidden="false" customHeight="false" outlineLevel="0" collapsed="false">
      <c r="A128" s="23"/>
      <c r="B128" s="23"/>
      <c r="C128" s="25"/>
      <c r="D128" s="25"/>
      <c r="E128" s="23"/>
      <c r="F128" s="23"/>
      <c r="G128" s="25" t="s">
        <v>94</v>
      </c>
      <c r="H128" s="23" t="s">
        <v>87</v>
      </c>
      <c r="I128" s="23" t="n">
        <v>60</v>
      </c>
      <c r="J128" s="23" t="s">
        <v>88</v>
      </c>
      <c r="K128" s="23" t="s">
        <v>155</v>
      </c>
      <c r="L128" s="23" t="n">
        <v>2</v>
      </c>
      <c r="M128" s="23" t="n">
        <v>1</v>
      </c>
      <c r="N128" s="23" t="s">
        <v>299</v>
      </c>
      <c r="O128" s="23"/>
      <c r="P128" s="23" t="s">
        <v>91</v>
      </c>
      <c r="Q128" s="25"/>
      <c r="R128" s="26" t="n">
        <f aca="false">IF(N(I128)=0,"",IF(OR(J128="mg/m²",J128="mg/m²/day"),I128*계산기!$C$14,IF(J128="mg/kg",I128*계산기!$C$6,IF(J128="AUC",I128*(계산기!$C$16+25),IF(J128="mg",I128,"")))))</f>
        <v>101.143462467922</v>
      </c>
      <c r="S128" s="26" t="n">
        <f aca="false">IF(OR(R128="",L128=""),"",R128*L128)</f>
        <v>202.286924935845</v>
      </c>
      <c r="T128" s="27"/>
      <c r="U128" s="30"/>
    </row>
    <row r="129" customFormat="false" ht="26.85" hidden="false" customHeight="false" outlineLevel="0" collapsed="false">
      <c r="A129" s="23" t="s">
        <v>387</v>
      </c>
      <c r="B129" s="23" t="n">
        <v>20</v>
      </c>
      <c r="C129" s="24" t="s">
        <v>388</v>
      </c>
      <c r="D129" s="25" t="s">
        <v>389</v>
      </c>
      <c r="E129" s="23" t="s">
        <v>299</v>
      </c>
      <c r="F129" s="29" t="s">
        <v>300</v>
      </c>
      <c r="G129" s="25" t="s">
        <v>390</v>
      </c>
      <c r="H129" s="23" t="s">
        <v>87</v>
      </c>
      <c r="I129" s="23" t="n">
        <v>75</v>
      </c>
      <c r="J129" s="23" t="s">
        <v>391</v>
      </c>
      <c r="K129" s="29" t="s">
        <v>392</v>
      </c>
      <c r="L129" s="23" t="n">
        <v>1</v>
      </c>
      <c r="M129" s="23" t="n">
        <v>1</v>
      </c>
      <c r="N129" s="23" t="s">
        <v>136</v>
      </c>
      <c r="O129" s="29" t="s">
        <v>393</v>
      </c>
      <c r="P129" s="23" t="s">
        <v>138</v>
      </c>
      <c r="Q129" s="24" t="s">
        <v>180</v>
      </c>
      <c r="R129" s="26" t="n">
        <f aca="false">IF(N(I129)=0,"",IF(OR(J129="mg/m²",J129="mg/m²/day"),I129*계산기!$C$14,IF(J129="mg/kg",I129*계산기!$C$6,IF(J129="AUC",I129*(계산기!$C$16+25),IF(J129="mg",I129,"")))))</f>
        <v>126.429328084903</v>
      </c>
      <c r="S129" s="26" t="n">
        <f aca="false">IF(OR(R129="",L129=""),"",R129*L129)</f>
        <v>126.429328084903</v>
      </c>
      <c r="T129" s="27" t="s">
        <v>92</v>
      </c>
      <c r="U129" s="28" t="s">
        <v>93</v>
      </c>
    </row>
    <row r="130" customFormat="false" ht="15" hidden="false" customHeight="false" outlineLevel="0" collapsed="false">
      <c r="A130" s="23" t="s">
        <v>387</v>
      </c>
      <c r="B130" s="23" t="n">
        <v>20</v>
      </c>
      <c r="C130" s="24" t="s">
        <v>388</v>
      </c>
      <c r="D130" s="25" t="s">
        <v>394</v>
      </c>
      <c r="E130" s="29" t="s">
        <v>283</v>
      </c>
      <c r="F130" s="29" t="s">
        <v>395</v>
      </c>
      <c r="G130" s="25" t="s">
        <v>390</v>
      </c>
      <c r="H130" s="23" t="s">
        <v>87</v>
      </c>
      <c r="I130" s="23" t="n">
        <v>150</v>
      </c>
      <c r="J130" s="23" t="s">
        <v>88</v>
      </c>
      <c r="K130" s="23" t="s">
        <v>113</v>
      </c>
      <c r="L130" s="23" t="n">
        <v>5</v>
      </c>
      <c r="M130" s="23" t="n">
        <v>28</v>
      </c>
      <c r="N130" s="23" t="s">
        <v>172</v>
      </c>
      <c r="O130" s="23" t="n">
        <v>6</v>
      </c>
      <c r="P130" s="23" t="s">
        <v>138</v>
      </c>
      <c r="Q130" s="25" t="s">
        <v>396</v>
      </c>
      <c r="R130" s="26" t="n">
        <f aca="false">IF(N(I130)=0,"",IF(OR(J130="mg/m²",J130="mg/m²/day"),I130*계산기!$C$14,IF(J130="mg/kg",I130*계산기!$C$6,IF(J130="AUC",I130*(계산기!$C$16+25),IF(J130="mg",I130,"")))))</f>
        <v>252.858656169806</v>
      </c>
      <c r="S130" s="26" t="n">
        <f aca="false">IF(OR(R130="",L130=""),"",R130*L130)</f>
        <v>1264.29328084903</v>
      </c>
      <c r="T130" s="27" t="s">
        <v>92</v>
      </c>
      <c r="U130" s="28" t="s">
        <v>93</v>
      </c>
    </row>
    <row r="131" customFormat="false" ht="15" hidden="false" customHeight="false" outlineLevel="0" collapsed="false">
      <c r="A131" s="23" t="s">
        <v>397</v>
      </c>
      <c r="B131" s="23" t="n">
        <v>21</v>
      </c>
      <c r="C131" s="24" t="s">
        <v>398</v>
      </c>
      <c r="D131" s="25" t="s">
        <v>131</v>
      </c>
      <c r="E131" s="23" t="s">
        <v>117</v>
      </c>
      <c r="F131" s="23" t="s">
        <v>85</v>
      </c>
      <c r="G131" s="25" t="s">
        <v>131</v>
      </c>
      <c r="H131" s="23" t="s">
        <v>106</v>
      </c>
      <c r="I131" s="23" t="n">
        <v>200</v>
      </c>
      <c r="J131" s="23" t="s">
        <v>107</v>
      </c>
      <c r="K131" s="23" t="s">
        <v>95</v>
      </c>
      <c r="L131" s="23" t="n">
        <v>1</v>
      </c>
      <c r="M131" s="23" t="n">
        <v>21</v>
      </c>
      <c r="N131" s="23" t="s">
        <v>90</v>
      </c>
      <c r="O131" s="23"/>
      <c r="P131" s="23" t="s">
        <v>91</v>
      </c>
      <c r="Q131" s="24" t="s">
        <v>108</v>
      </c>
      <c r="R131" s="26" t="n">
        <f aca="false">IF(N(I131)=0,"",IF(OR(J131="mg/m²",J131="mg/m²/day"),I131*계산기!$C$14,IF(J131="mg/kg",I131*계산기!$C$6,IF(J131="AUC",I131*(계산기!$C$16+25),IF(J131="mg",I131,"")))))</f>
        <v>200</v>
      </c>
      <c r="S131" s="26" t="n">
        <f aca="false">IF(OR(R131="",L131=""),"",R131*L131)</f>
        <v>200</v>
      </c>
      <c r="T131" s="27" t="s">
        <v>92</v>
      </c>
      <c r="U131" s="28" t="s">
        <v>93</v>
      </c>
    </row>
    <row r="132" customFormat="false" ht="15" hidden="false" customHeight="false" outlineLevel="0" collapsed="false">
      <c r="A132" s="23" t="s">
        <v>399</v>
      </c>
      <c r="B132" s="23" t="n">
        <v>21</v>
      </c>
      <c r="C132" s="24" t="s">
        <v>398</v>
      </c>
      <c r="D132" s="25" t="s">
        <v>400</v>
      </c>
      <c r="E132" s="23" t="s">
        <v>99</v>
      </c>
      <c r="F132" s="23" t="s">
        <v>85</v>
      </c>
      <c r="G132" s="25" t="s">
        <v>401</v>
      </c>
      <c r="H132" s="23" t="s">
        <v>106</v>
      </c>
      <c r="I132" s="23" t="n">
        <v>1</v>
      </c>
      <c r="J132" s="23" t="s">
        <v>165</v>
      </c>
      <c r="K132" s="23" t="s">
        <v>95</v>
      </c>
      <c r="L132" s="23" t="n">
        <v>1</v>
      </c>
      <c r="M132" s="23" t="n">
        <v>21</v>
      </c>
      <c r="N132" s="23" t="s">
        <v>90</v>
      </c>
      <c r="O132" s="23" t="n">
        <v>4</v>
      </c>
      <c r="P132" s="23" t="s">
        <v>91</v>
      </c>
      <c r="Q132" s="24" t="s">
        <v>402</v>
      </c>
      <c r="R132" s="26" t="n">
        <f aca="false">IF(N(I132)=0,"",IF(OR(J132="mg/m²",J132="mg/m²/day"),I132*계산기!$C$14,IF(J132="mg/kg",I132*계산기!$C$6,IF(J132="AUC",I132*(계산기!$C$16+25),IF(J132="mg",I132,"")))))</f>
        <v>62</v>
      </c>
      <c r="S132" s="26" t="n">
        <f aca="false">IF(OR(R132="",L132=""),"",R132*L132)</f>
        <v>62</v>
      </c>
      <c r="T132" s="27" t="s">
        <v>92</v>
      </c>
      <c r="U132" s="28" t="s">
        <v>93</v>
      </c>
    </row>
    <row r="133" customFormat="false" ht="15" hidden="false" customHeight="false" outlineLevel="0" collapsed="false">
      <c r="A133" s="23"/>
      <c r="B133" s="23"/>
      <c r="C133" s="25"/>
      <c r="D133" s="25"/>
      <c r="E133" s="23"/>
      <c r="F133" s="23"/>
      <c r="G133" s="25" t="s">
        <v>403</v>
      </c>
      <c r="H133" s="23" t="s">
        <v>106</v>
      </c>
      <c r="I133" s="23" t="n">
        <v>3</v>
      </c>
      <c r="J133" s="23" t="s">
        <v>165</v>
      </c>
      <c r="K133" s="23" t="s">
        <v>95</v>
      </c>
      <c r="L133" s="23" t="n">
        <v>1</v>
      </c>
      <c r="M133" s="23" t="n">
        <v>21</v>
      </c>
      <c r="N133" s="23" t="s">
        <v>90</v>
      </c>
      <c r="O133" s="23" t="n">
        <v>4</v>
      </c>
      <c r="P133" s="23" t="s">
        <v>91</v>
      </c>
      <c r="Q133" s="25"/>
      <c r="R133" s="26" t="n">
        <f aca="false">IF(N(I133)=0,"",IF(OR(J133="mg/m²",J133="mg/m²/day"),I133*계산기!$C$14,IF(J133="mg/kg",I133*계산기!$C$6,IF(J133="AUC",I133*(계산기!$C$16+25),IF(J133="mg",I133,"")))))</f>
        <v>186</v>
      </c>
      <c r="S133" s="26" t="n">
        <f aca="false">IF(OR(R133="",L133=""),"",R133*L133)</f>
        <v>186</v>
      </c>
      <c r="T133" s="27"/>
      <c r="U133" s="28"/>
    </row>
    <row r="134" customFormat="false" ht="22.35" hidden="false" customHeight="false" outlineLevel="0" collapsed="false">
      <c r="A134" s="23" t="s">
        <v>404</v>
      </c>
      <c r="B134" s="23" t="n">
        <v>21</v>
      </c>
      <c r="C134" s="24" t="s">
        <v>398</v>
      </c>
      <c r="D134" s="25" t="s">
        <v>405</v>
      </c>
      <c r="E134" s="23" t="s">
        <v>117</v>
      </c>
      <c r="F134" s="23" t="s">
        <v>406</v>
      </c>
      <c r="G134" s="25" t="s">
        <v>407</v>
      </c>
      <c r="H134" s="23" t="s">
        <v>106</v>
      </c>
      <c r="I134" s="23" t="n">
        <v>150</v>
      </c>
      <c r="J134" s="23" t="s">
        <v>107</v>
      </c>
      <c r="K134" s="23" t="s">
        <v>145</v>
      </c>
      <c r="L134" s="23" t="n">
        <v>2</v>
      </c>
      <c r="M134" s="23" t="n">
        <v>1</v>
      </c>
      <c r="N134" s="23" t="s">
        <v>136</v>
      </c>
      <c r="O134" s="29" t="s">
        <v>137</v>
      </c>
      <c r="P134" s="23" t="s">
        <v>138</v>
      </c>
      <c r="Q134" s="25"/>
      <c r="R134" s="26" t="n">
        <f aca="false">IF(N(I134)=0,"",IF(OR(J134="mg/m²",J134="mg/m²/day"),I134*계산기!$C$14,IF(J134="mg/kg",I134*계산기!$C$6,IF(J134="AUC",I134*(계산기!$C$16+25),IF(J134="mg",I134,"")))))</f>
        <v>150</v>
      </c>
      <c r="S134" s="26" t="n">
        <f aca="false">IF(OR(R134="",L134=""),"",R134*L134)</f>
        <v>300</v>
      </c>
      <c r="T134" s="27" t="s">
        <v>92</v>
      </c>
      <c r="U134" s="28" t="s">
        <v>93</v>
      </c>
    </row>
    <row r="135" customFormat="false" ht="15" hidden="false" customHeight="false" outlineLevel="0" collapsed="false">
      <c r="A135" s="23"/>
      <c r="B135" s="23"/>
      <c r="C135" s="25"/>
      <c r="D135" s="25"/>
      <c r="E135" s="23"/>
      <c r="F135" s="23"/>
      <c r="G135" s="25" t="s">
        <v>408</v>
      </c>
      <c r="H135" s="23" t="s">
        <v>106</v>
      </c>
      <c r="I135" s="23" t="n">
        <v>2</v>
      </c>
      <c r="J135" s="23" t="s">
        <v>107</v>
      </c>
      <c r="K135" s="29" t="s">
        <v>135</v>
      </c>
      <c r="L135" s="23" t="n">
        <v>1</v>
      </c>
      <c r="M135" s="23" t="n">
        <v>1</v>
      </c>
      <c r="N135" s="23" t="s">
        <v>136</v>
      </c>
      <c r="O135" s="29" t="s">
        <v>137</v>
      </c>
      <c r="P135" s="23" t="s">
        <v>138</v>
      </c>
      <c r="Q135" s="25"/>
      <c r="R135" s="26" t="n">
        <f aca="false">IF(N(I135)=0,"",IF(OR(J135="mg/m²",J135="mg/m²/day"),I135*계산기!$C$14,IF(J135="mg/kg",I135*계산기!$C$6,IF(J135="AUC",I135*(계산기!$C$16+25),IF(J135="mg",I135,"")))))</f>
        <v>2</v>
      </c>
      <c r="S135" s="26" t="n">
        <f aca="false">IF(OR(R135="",L135=""),"",R135*L135)</f>
        <v>2</v>
      </c>
      <c r="T135" s="27"/>
      <c r="U135" s="28"/>
    </row>
    <row r="136" customFormat="false" ht="15" hidden="false" customHeight="false" outlineLevel="0" collapsed="false">
      <c r="A136" s="23" t="s">
        <v>409</v>
      </c>
      <c r="B136" s="23" t="n">
        <v>22</v>
      </c>
      <c r="C136" s="24" t="s">
        <v>410</v>
      </c>
      <c r="D136" s="25" t="s">
        <v>411</v>
      </c>
      <c r="E136" s="23" t="s">
        <v>99</v>
      </c>
      <c r="F136" s="23" t="s">
        <v>85</v>
      </c>
      <c r="G136" s="25" t="s">
        <v>246</v>
      </c>
      <c r="H136" s="23" t="s">
        <v>87</v>
      </c>
      <c r="I136" s="23" t="n">
        <v>75</v>
      </c>
      <c r="J136" s="23" t="s">
        <v>88</v>
      </c>
      <c r="K136" s="23" t="s">
        <v>95</v>
      </c>
      <c r="L136" s="23" t="n">
        <v>1</v>
      </c>
      <c r="M136" s="23" t="n">
        <v>21</v>
      </c>
      <c r="N136" s="23" t="s">
        <v>90</v>
      </c>
      <c r="O136" s="23"/>
      <c r="P136" s="23" t="s">
        <v>91</v>
      </c>
      <c r="Q136" s="25"/>
      <c r="R136" s="26" t="n">
        <f aca="false">IF(N(I136)=0,"",IF(OR(J136="mg/m²",J136="mg/m²/day"),I136*계산기!$C$14,IF(J136="mg/kg",I136*계산기!$C$6,IF(J136="AUC",I136*(계산기!$C$16+25),IF(J136="mg",I136,"")))))</f>
        <v>126.429328084903</v>
      </c>
      <c r="S136" s="26" t="n">
        <f aca="false">IF(OR(R136="",L136=""),"",R136*L136)</f>
        <v>126.429328084903</v>
      </c>
      <c r="T136" s="27" t="s">
        <v>92</v>
      </c>
      <c r="U136" s="28" t="s">
        <v>93</v>
      </c>
    </row>
    <row r="137" customFormat="false" ht="15" hidden="false" customHeight="false" outlineLevel="0" collapsed="false">
      <c r="A137" s="23" t="s">
        <v>412</v>
      </c>
      <c r="B137" s="23" t="n">
        <v>22</v>
      </c>
      <c r="C137" s="24" t="s">
        <v>410</v>
      </c>
      <c r="D137" s="25" t="s">
        <v>323</v>
      </c>
      <c r="E137" s="23" t="s">
        <v>99</v>
      </c>
      <c r="F137" s="23" t="s">
        <v>112</v>
      </c>
      <c r="G137" s="25" t="s">
        <v>323</v>
      </c>
      <c r="H137" s="23" t="s">
        <v>106</v>
      </c>
      <c r="I137" s="23" t="n">
        <v>800</v>
      </c>
      <c r="J137" s="23" t="s">
        <v>107</v>
      </c>
      <c r="K137" s="29" t="s">
        <v>135</v>
      </c>
      <c r="L137" s="23" t="n">
        <v>1</v>
      </c>
      <c r="M137" s="23" t="n">
        <v>1</v>
      </c>
      <c r="N137" s="23" t="s">
        <v>136</v>
      </c>
      <c r="O137" s="29" t="s">
        <v>137</v>
      </c>
      <c r="P137" s="23" t="s">
        <v>138</v>
      </c>
      <c r="Q137" s="24" t="s">
        <v>413</v>
      </c>
      <c r="R137" s="26" t="n">
        <f aca="false">IF(N(I137)=0,"",IF(OR(J137="mg/m²",J137="mg/m²/day"),I137*계산기!$C$14,IF(J137="mg/kg",I137*계산기!$C$6,IF(J137="AUC",I137*(계산기!$C$16+25),IF(J137="mg",I137,"")))))</f>
        <v>800</v>
      </c>
      <c r="S137" s="26" t="n">
        <f aca="false">IF(OR(R137="",L137=""),"",R137*L137)</f>
        <v>800</v>
      </c>
      <c r="T137" s="27" t="s">
        <v>92</v>
      </c>
      <c r="U137" s="28" t="s">
        <v>93</v>
      </c>
    </row>
    <row r="138" customFormat="false" ht="15" hidden="false" customHeight="false" outlineLevel="0" collapsed="false">
      <c r="A138" s="23" t="s">
        <v>414</v>
      </c>
      <c r="B138" s="23" t="n">
        <v>24</v>
      </c>
      <c r="C138" s="24" t="s">
        <v>415</v>
      </c>
      <c r="D138" s="25" t="s">
        <v>416</v>
      </c>
      <c r="E138" s="23" t="s">
        <v>117</v>
      </c>
      <c r="F138" s="23" t="s">
        <v>85</v>
      </c>
      <c r="G138" s="25" t="s">
        <v>417</v>
      </c>
      <c r="H138" s="23" t="s">
        <v>87</v>
      </c>
      <c r="I138" s="23" t="n">
        <v>30</v>
      </c>
      <c r="J138" s="23" t="s">
        <v>418</v>
      </c>
      <c r="K138" s="23" t="s">
        <v>173</v>
      </c>
      <c r="L138" s="23" t="n">
        <v>3</v>
      </c>
      <c r="M138" s="23" t="n">
        <v>21</v>
      </c>
      <c r="N138" s="23" t="s">
        <v>90</v>
      </c>
      <c r="O138" s="23" t="n">
        <v>3</v>
      </c>
      <c r="P138" s="23" t="s">
        <v>91</v>
      </c>
      <c r="Q138" s="24" t="s">
        <v>419</v>
      </c>
      <c r="R138" s="26" t="str">
        <f aca="false">IF(N(I138)=0,"",IF(OR(J138="mg/m²",J138="mg/m²/day"),I138*계산기!$C$14,IF(J138="mg/kg",I138*계산기!$C$6,IF(J138="AUC",I138*(계산기!$C$16+25),IF(J138="mg",I138,"")))))</f>
        <v/>
      </c>
      <c r="S138" s="26" t="str">
        <f aca="false">IF(OR(R138="",L138=""),"",R138*L138)</f>
        <v/>
      </c>
      <c r="T138" s="27" t="s">
        <v>92</v>
      </c>
      <c r="U138" s="28" t="s">
        <v>93</v>
      </c>
    </row>
    <row r="139" customFormat="false" ht="15" hidden="false" customHeight="false" outlineLevel="0" collapsed="false">
      <c r="A139" s="23"/>
      <c r="B139" s="23"/>
      <c r="C139" s="25"/>
      <c r="D139" s="25"/>
      <c r="E139" s="23"/>
      <c r="F139" s="23"/>
      <c r="G139" s="25" t="s">
        <v>86</v>
      </c>
      <c r="H139" s="23" t="s">
        <v>87</v>
      </c>
      <c r="I139" s="23" t="n">
        <v>100</v>
      </c>
      <c r="J139" s="23" t="s">
        <v>88</v>
      </c>
      <c r="K139" s="23" t="s">
        <v>113</v>
      </c>
      <c r="L139" s="23" t="n">
        <v>5</v>
      </c>
      <c r="M139" s="23" t="n">
        <v>21</v>
      </c>
      <c r="N139" s="23" t="s">
        <v>90</v>
      </c>
      <c r="O139" s="23" t="n">
        <v>3</v>
      </c>
      <c r="P139" s="23" t="s">
        <v>91</v>
      </c>
      <c r="Q139" s="25"/>
      <c r="R139" s="26" t="n">
        <f aca="false">IF(N(I139)=0,"",IF(OR(J139="mg/m²",J139="mg/m²/day"),I139*계산기!$C$14,IF(J139="mg/kg",I139*계산기!$C$6,IF(J139="AUC",I139*(계산기!$C$16+25),IF(J139="mg",I139,"")))))</f>
        <v>168.572437446537</v>
      </c>
      <c r="S139" s="26" t="n">
        <f aca="false">IF(OR(R139="",L139=""),"",R139*L139)</f>
        <v>842.862187232686</v>
      </c>
      <c r="T139" s="27"/>
      <c r="U139" s="28"/>
    </row>
    <row r="140" customFormat="false" ht="15" hidden="false" customHeight="false" outlineLevel="0" collapsed="false">
      <c r="A140" s="23"/>
      <c r="B140" s="23"/>
      <c r="C140" s="25"/>
      <c r="D140" s="25"/>
      <c r="E140" s="23"/>
      <c r="F140" s="23"/>
      <c r="G140" s="25" t="s">
        <v>94</v>
      </c>
      <c r="H140" s="23" t="s">
        <v>87</v>
      </c>
      <c r="I140" s="23" t="n">
        <v>20</v>
      </c>
      <c r="J140" s="23" t="s">
        <v>88</v>
      </c>
      <c r="K140" s="23" t="s">
        <v>113</v>
      </c>
      <c r="L140" s="23" t="n">
        <v>5</v>
      </c>
      <c r="M140" s="23" t="n">
        <v>21</v>
      </c>
      <c r="N140" s="23" t="s">
        <v>90</v>
      </c>
      <c r="O140" s="23" t="n">
        <v>3</v>
      </c>
      <c r="P140" s="23" t="s">
        <v>91</v>
      </c>
      <c r="Q140" s="25"/>
      <c r="R140" s="26" t="n">
        <f aca="false">IF(N(I140)=0,"",IF(OR(J140="mg/m²",J140="mg/m²/day"),I140*계산기!$C$14,IF(J140="mg/kg",I140*계산기!$C$6,IF(J140="AUC",I140*(계산기!$C$16+25),IF(J140="mg",I140,"")))))</f>
        <v>33.7144874893074</v>
      </c>
      <c r="S140" s="26" t="n">
        <f aca="false">IF(OR(R140="",L140=""),"",R140*L140)</f>
        <v>168.572437446537</v>
      </c>
      <c r="T140" s="27"/>
      <c r="U140" s="28"/>
    </row>
    <row r="141" customFormat="false" ht="15" hidden="false" customHeight="false" outlineLevel="0" collapsed="false">
      <c r="A141" s="23" t="s">
        <v>420</v>
      </c>
      <c r="B141" s="23" t="n">
        <v>28</v>
      </c>
      <c r="C141" s="24" t="s">
        <v>421</v>
      </c>
      <c r="D141" s="25" t="s">
        <v>422</v>
      </c>
      <c r="E141" s="23" t="s">
        <v>99</v>
      </c>
      <c r="F141" s="23" t="s">
        <v>85</v>
      </c>
      <c r="G141" s="25" t="s">
        <v>423</v>
      </c>
      <c r="H141" s="23" t="s">
        <v>106</v>
      </c>
      <c r="I141" s="23" t="n">
        <v>375</v>
      </c>
      <c r="J141" s="23" t="s">
        <v>88</v>
      </c>
      <c r="K141" s="23" t="s">
        <v>95</v>
      </c>
      <c r="L141" s="23" t="n">
        <v>1</v>
      </c>
      <c r="M141" s="23" t="n">
        <v>21</v>
      </c>
      <c r="N141" s="23" t="s">
        <v>90</v>
      </c>
      <c r="O141" s="23" t="n">
        <v>6</v>
      </c>
      <c r="P141" s="23" t="s">
        <v>91</v>
      </c>
      <c r="Q141" s="25"/>
      <c r="R141" s="26" t="n">
        <f aca="false">IF(N(I141)=0,"",IF(OR(J141="mg/m²",J141="mg/m²/day"),I141*계산기!$C$14,IF(J141="mg/kg",I141*계산기!$C$6,IF(J141="AUC",I141*(계산기!$C$16+25),IF(J141="mg",I141,"")))))</f>
        <v>632.146640424514</v>
      </c>
      <c r="S141" s="26" t="n">
        <f aca="false">IF(OR(R141="",L141=""),"",R141*L141)</f>
        <v>632.146640424514</v>
      </c>
      <c r="T141" s="27" t="s">
        <v>92</v>
      </c>
      <c r="U141" s="28" t="s">
        <v>93</v>
      </c>
    </row>
    <row r="142" customFormat="false" ht="15" hidden="false" customHeight="false" outlineLevel="0" collapsed="false">
      <c r="A142" s="23"/>
      <c r="B142" s="23"/>
      <c r="C142" s="25"/>
      <c r="D142" s="25"/>
      <c r="E142" s="23"/>
      <c r="F142" s="23"/>
      <c r="G142" s="25" t="s">
        <v>247</v>
      </c>
      <c r="H142" s="23" t="s">
        <v>87</v>
      </c>
      <c r="I142" s="23" t="n">
        <v>750</v>
      </c>
      <c r="J142" s="23" t="s">
        <v>88</v>
      </c>
      <c r="K142" s="23" t="s">
        <v>95</v>
      </c>
      <c r="L142" s="23" t="n">
        <v>1</v>
      </c>
      <c r="M142" s="23" t="n">
        <v>21</v>
      </c>
      <c r="N142" s="23" t="s">
        <v>90</v>
      </c>
      <c r="O142" s="23" t="n">
        <v>6</v>
      </c>
      <c r="P142" s="23" t="s">
        <v>91</v>
      </c>
      <c r="Q142" s="25"/>
      <c r="R142" s="26" t="n">
        <f aca="false">IF(N(I142)=0,"",IF(OR(J142="mg/m²",J142="mg/m²/day"),I142*계산기!$C$14,IF(J142="mg/kg",I142*계산기!$C$6,IF(J142="AUC",I142*(계산기!$C$16+25),IF(J142="mg",I142,"")))))</f>
        <v>1264.29328084903</v>
      </c>
      <c r="S142" s="26" t="n">
        <f aca="false">IF(OR(R142="",L142=""),"",R142*L142)</f>
        <v>1264.29328084903</v>
      </c>
      <c r="T142" s="27"/>
      <c r="U142" s="28"/>
    </row>
    <row r="143" customFormat="false" ht="15" hidden="false" customHeight="false" outlineLevel="0" collapsed="false">
      <c r="A143" s="23"/>
      <c r="B143" s="23"/>
      <c r="C143" s="25"/>
      <c r="D143" s="25"/>
      <c r="E143" s="23"/>
      <c r="F143" s="23"/>
      <c r="G143" s="25" t="s">
        <v>246</v>
      </c>
      <c r="H143" s="23" t="s">
        <v>87</v>
      </c>
      <c r="I143" s="23" t="n">
        <v>50</v>
      </c>
      <c r="J143" s="23" t="s">
        <v>88</v>
      </c>
      <c r="K143" s="23" t="s">
        <v>95</v>
      </c>
      <c r="L143" s="23" t="n">
        <v>1</v>
      </c>
      <c r="M143" s="23" t="n">
        <v>21</v>
      </c>
      <c r="N143" s="23" t="s">
        <v>90</v>
      </c>
      <c r="O143" s="23" t="n">
        <v>6</v>
      </c>
      <c r="P143" s="23" t="s">
        <v>91</v>
      </c>
      <c r="Q143" s="25"/>
      <c r="R143" s="26" t="n">
        <f aca="false">IF(N(I143)=0,"",IF(OR(J143="mg/m²",J143="mg/m²/day"),I143*계산기!$C$14,IF(J143="mg/kg",I143*계산기!$C$6,IF(J143="AUC",I143*(계산기!$C$16+25),IF(J143="mg",I143,"")))))</f>
        <v>84.2862187232686</v>
      </c>
      <c r="S143" s="26" t="n">
        <f aca="false">IF(OR(R143="",L143=""),"",R143*L143)</f>
        <v>84.2862187232686</v>
      </c>
      <c r="T143" s="27"/>
      <c r="U143" s="28"/>
    </row>
    <row r="144" customFormat="false" ht="15" hidden="false" customHeight="false" outlineLevel="0" collapsed="false">
      <c r="A144" s="23"/>
      <c r="B144" s="23"/>
      <c r="C144" s="25"/>
      <c r="D144" s="25"/>
      <c r="E144" s="23"/>
      <c r="F144" s="23"/>
      <c r="G144" s="25" t="s">
        <v>424</v>
      </c>
      <c r="H144" s="23" t="s">
        <v>87</v>
      </c>
      <c r="I144" s="23" t="n">
        <v>1.4</v>
      </c>
      <c r="J144" s="23" t="s">
        <v>88</v>
      </c>
      <c r="K144" s="23" t="s">
        <v>95</v>
      </c>
      <c r="L144" s="23" t="n">
        <v>1</v>
      </c>
      <c r="M144" s="23" t="n">
        <v>21</v>
      </c>
      <c r="N144" s="23" t="s">
        <v>90</v>
      </c>
      <c r="O144" s="23" t="n">
        <v>6</v>
      </c>
      <c r="P144" s="23" t="s">
        <v>91</v>
      </c>
      <c r="Q144" s="24" t="s">
        <v>425</v>
      </c>
      <c r="R144" s="26" t="n">
        <f aca="false">IF(N(I144)=0,"",IF(OR(J144="mg/m²",J144="mg/m²/day"),I144*계산기!$C$14,IF(J144="mg/kg",I144*계산기!$C$6,IF(J144="AUC",I144*(계산기!$C$16+25),IF(J144="mg",I144,"")))))</f>
        <v>2.36001412425152</v>
      </c>
      <c r="S144" s="26" t="n">
        <f aca="false">IF(OR(R144="",L144=""),"",R144*L144)</f>
        <v>2.36001412425152</v>
      </c>
      <c r="T144" s="27"/>
      <c r="U144" s="28"/>
    </row>
    <row r="145" customFormat="false" ht="15" hidden="false" customHeight="false" outlineLevel="0" collapsed="false">
      <c r="A145" s="23"/>
      <c r="B145" s="23"/>
      <c r="C145" s="25"/>
      <c r="D145" s="25"/>
      <c r="E145" s="23"/>
      <c r="F145" s="23"/>
      <c r="G145" s="25" t="s">
        <v>426</v>
      </c>
      <c r="H145" s="23" t="s">
        <v>87</v>
      </c>
      <c r="I145" s="23" t="n">
        <v>100</v>
      </c>
      <c r="J145" s="23" t="s">
        <v>107</v>
      </c>
      <c r="K145" s="23" t="s">
        <v>113</v>
      </c>
      <c r="L145" s="23" t="n">
        <v>5</v>
      </c>
      <c r="M145" s="23" t="n">
        <v>21</v>
      </c>
      <c r="N145" s="23" t="s">
        <v>90</v>
      </c>
      <c r="O145" s="23" t="n">
        <v>6</v>
      </c>
      <c r="P145" s="23" t="s">
        <v>138</v>
      </c>
      <c r="Q145" s="25"/>
      <c r="R145" s="26" t="n">
        <f aca="false">IF(N(I145)=0,"",IF(OR(J145="mg/m²",J145="mg/m²/day"),I145*계산기!$C$14,IF(J145="mg/kg",I145*계산기!$C$6,IF(J145="AUC",I145*(계산기!$C$16+25),IF(J145="mg",I145,"")))))</f>
        <v>100</v>
      </c>
      <c r="S145" s="26" t="n">
        <f aca="false">IF(OR(R145="",L145=""),"",R145*L145)</f>
        <v>500</v>
      </c>
      <c r="T145" s="27"/>
      <c r="U145" s="28"/>
    </row>
    <row r="146" customFormat="false" ht="15" hidden="false" customHeight="false" outlineLevel="0" collapsed="false">
      <c r="A146" s="23" t="s">
        <v>427</v>
      </c>
      <c r="B146" s="23" t="n">
        <v>28</v>
      </c>
      <c r="C146" s="24" t="s">
        <v>421</v>
      </c>
      <c r="D146" s="25" t="s">
        <v>428</v>
      </c>
      <c r="E146" s="23" t="s">
        <v>99</v>
      </c>
      <c r="F146" s="23" t="s">
        <v>429</v>
      </c>
      <c r="G146" s="25" t="s">
        <v>423</v>
      </c>
      <c r="H146" s="23" t="s">
        <v>106</v>
      </c>
      <c r="I146" s="23" t="n">
        <v>375</v>
      </c>
      <c r="J146" s="23" t="s">
        <v>88</v>
      </c>
      <c r="K146" s="23" t="s">
        <v>95</v>
      </c>
      <c r="L146" s="23" t="n">
        <v>1</v>
      </c>
      <c r="M146" s="23" t="n">
        <v>28</v>
      </c>
      <c r="N146" s="23" t="s">
        <v>172</v>
      </c>
      <c r="O146" s="23" t="n">
        <v>6</v>
      </c>
      <c r="P146" s="23" t="s">
        <v>91</v>
      </c>
      <c r="Q146" s="25"/>
      <c r="R146" s="26" t="n">
        <f aca="false">IF(N(I146)=0,"",IF(OR(J146="mg/m²",J146="mg/m²/day"),I146*계산기!$C$14,IF(J146="mg/kg",I146*계산기!$C$6,IF(J146="AUC",I146*(계산기!$C$16+25),IF(J146="mg",I146,"")))))</f>
        <v>632.146640424514</v>
      </c>
      <c r="S146" s="26" t="n">
        <f aca="false">IF(OR(R146="",L146=""),"",R146*L146)</f>
        <v>632.146640424514</v>
      </c>
      <c r="T146" s="27" t="s">
        <v>92</v>
      </c>
      <c r="U146" s="28" t="s">
        <v>93</v>
      </c>
    </row>
    <row r="147" customFormat="false" ht="15" hidden="false" customHeight="false" outlineLevel="0" collapsed="false">
      <c r="A147" s="23"/>
      <c r="B147" s="23"/>
      <c r="C147" s="25"/>
      <c r="D147" s="25"/>
      <c r="E147" s="23"/>
      <c r="F147" s="23"/>
      <c r="G147" s="25" t="s">
        <v>430</v>
      </c>
      <c r="H147" s="23" t="s">
        <v>106</v>
      </c>
      <c r="I147" s="23" t="n">
        <v>90</v>
      </c>
      <c r="J147" s="23" t="s">
        <v>88</v>
      </c>
      <c r="K147" s="23" t="s">
        <v>155</v>
      </c>
      <c r="L147" s="23" t="n">
        <v>2</v>
      </c>
      <c r="M147" s="23" t="n">
        <v>28</v>
      </c>
      <c r="N147" s="23" t="s">
        <v>172</v>
      </c>
      <c r="O147" s="23" t="n">
        <v>6</v>
      </c>
      <c r="P147" s="23" t="s">
        <v>91</v>
      </c>
      <c r="Q147" s="25"/>
      <c r="R147" s="26" t="n">
        <f aca="false">IF(N(I147)=0,"",IF(OR(J147="mg/m²",J147="mg/m²/day"),I147*계산기!$C$14,IF(J147="mg/kg",I147*계산기!$C$6,IF(J147="AUC",I147*(계산기!$C$16+25),IF(J147="mg",I147,"")))))</f>
        <v>151.715193701883</v>
      </c>
      <c r="S147" s="26" t="n">
        <f aca="false">IF(OR(R147="",L147=""),"",R147*L147)</f>
        <v>303.430387403767</v>
      </c>
      <c r="T147" s="27"/>
      <c r="U147" s="28"/>
    </row>
    <row r="148" customFormat="false" ht="15" hidden="false" customHeight="false" outlineLevel="0" collapsed="false">
      <c r="A148" s="23" t="s">
        <v>431</v>
      </c>
      <c r="B148" s="23" t="n">
        <v>29</v>
      </c>
      <c r="C148" s="24" t="s">
        <v>432</v>
      </c>
      <c r="D148" s="25" t="s">
        <v>433</v>
      </c>
      <c r="E148" s="23" t="s">
        <v>99</v>
      </c>
      <c r="F148" s="23" t="s">
        <v>85</v>
      </c>
      <c r="G148" s="25" t="s">
        <v>246</v>
      </c>
      <c r="H148" s="23" t="s">
        <v>87</v>
      </c>
      <c r="I148" s="23" t="n">
        <v>25</v>
      </c>
      <c r="J148" s="23" t="s">
        <v>88</v>
      </c>
      <c r="K148" s="23" t="s">
        <v>171</v>
      </c>
      <c r="L148" s="23" t="n">
        <v>2</v>
      </c>
      <c r="M148" s="23" t="n">
        <v>28</v>
      </c>
      <c r="N148" s="23" t="s">
        <v>172</v>
      </c>
      <c r="O148" s="23"/>
      <c r="P148" s="23" t="s">
        <v>91</v>
      </c>
      <c r="Q148" s="25"/>
      <c r="R148" s="26" t="n">
        <f aca="false">IF(N(I148)=0,"",IF(OR(J148="mg/m²",J148="mg/m²/day"),I148*계산기!$C$14,IF(J148="mg/kg",I148*계산기!$C$6,IF(J148="AUC",I148*(계산기!$C$16+25),IF(J148="mg",I148,"")))))</f>
        <v>42.1431093616343</v>
      </c>
      <c r="S148" s="26" t="n">
        <f aca="false">IF(OR(R148="",L148=""),"",R148*L148)</f>
        <v>84.2862187232686</v>
      </c>
      <c r="T148" s="27" t="s">
        <v>92</v>
      </c>
      <c r="U148" s="28" t="s">
        <v>93</v>
      </c>
    </row>
    <row r="149" customFormat="false" ht="15" hidden="false" customHeight="false" outlineLevel="0" collapsed="false">
      <c r="A149" s="23"/>
      <c r="B149" s="23"/>
      <c r="C149" s="25"/>
      <c r="D149" s="25"/>
      <c r="E149" s="23"/>
      <c r="F149" s="23"/>
      <c r="G149" s="25" t="s">
        <v>417</v>
      </c>
      <c r="H149" s="23" t="s">
        <v>87</v>
      </c>
      <c r="I149" s="23" t="n">
        <v>10</v>
      </c>
      <c r="J149" s="23" t="s">
        <v>418</v>
      </c>
      <c r="K149" s="23" t="s">
        <v>171</v>
      </c>
      <c r="L149" s="23" t="n">
        <v>2</v>
      </c>
      <c r="M149" s="23" t="n">
        <v>28</v>
      </c>
      <c r="N149" s="23" t="s">
        <v>172</v>
      </c>
      <c r="O149" s="23"/>
      <c r="P149" s="23" t="s">
        <v>91</v>
      </c>
      <c r="Q149" s="25"/>
      <c r="R149" s="26" t="str">
        <f aca="false">IF(N(I149)=0,"",IF(OR(J149="mg/m²",J149="mg/m²/day"),I149*계산기!$C$14,IF(J149="mg/kg",I149*계산기!$C$6,IF(J149="AUC",I149*(계산기!$C$16+25),IF(J149="mg",I149,"")))))</f>
        <v/>
      </c>
      <c r="S149" s="26" t="str">
        <f aca="false">IF(OR(R149="",L149=""),"",R149*L149)</f>
        <v/>
      </c>
      <c r="T149" s="27"/>
      <c r="U149" s="28"/>
    </row>
    <row r="150" customFormat="false" ht="15" hidden="false" customHeight="false" outlineLevel="0" collapsed="false">
      <c r="A150" s="23"/>
      <c r="B150" s="23"/>
      <c r="C150" s="25"/>
      <c r="D150" s="25"/>
      <c r="E150" s="23"/>
      <c r="F150" s="23"/>
      <c r="G150" s="25" t="s">
        <v>434</v>
      </c>
      <c r="H150" s="23" t="s">
        <v>87</v>
      </c>
      <c r="I150" s="23" t="n">
        <v>6</v>
      </c>
      <c r="J150" s="23" t="s">
        <v>88</v>
      </c>
      <c r="K150" s="23" t="s">
        <v>171</v>
      </c>
      <c r="L150" s="23" t="n">
        <v>2</v>
      </c>
      <c r="M150" s="23" t="n">
        <v>28</v>
      </c>
      <c r="N150" s="23" t="s">
        <v>172</v>
      </c>
      <c r="O150" s="23"/>
      <c r="P150" s="23" t="s">
        <v>91</v>
      </c>
      <c r="Q150" s="25"/>
      <c r="R150" s="26" t="n">
        <f aca="false">IF(N(I150)=0,"",IF(OR(J150="mg/m²",J150="mg/m²/day"),I150*계산기!$C$14,IF(J150="mg/kg",I150*계산기!$C$6,IF(J150="AUC",I150*(계산기!$C$16+25),IF(J150="mg",I150,"")))))</f>
        <v>10.1143462467922</v>
      </c>
      <c r="S150" s="26" t="n">
        <f aca="false">IF(OR(R150="",L150=""),"",R150*L150)</f>
        <v>20.2286924935845</v>
      </c>
      <c r="T150" s="27"/>
      <c r="U150" s="28"/>
    </row>
    <row r="151" customFormat="false" ht="15" hidden="false" customHeight="false" outlineLevel="0" collapsed="false">
      <c r="A151" s="23"/>
      <c r="B151" s="23"/>
      <c r="C151" s="25"/>
      <c r="D151" s="25"/>
      <c r="E151" s="23"/>
      <c r="F151" s="23"/>
      <c r="G151" s="25" t="s">
        <v>435</v>
      </c>
      <c r="H151" s="23" t="s">
        <v>87</v>
      </c>
      <c r="I151" s="23" t="n">
        <v>375</v>
      </c>
      <c r="J151" s="23" t="s">
        <v>88</v>
      </c>
      <c r="K151" s="23" t="s">
        <v>171</v>
      </c>
      <c r="L151" s="23" t="n">
        <v>2</v>
      </c>
      <c r="M151" s="23" t="n">
        <v>28</v>
      </c>
      <c r="N151" s="23" t="s">
        <v>172</v>
      </c>
      <c r="O151" s="23"/>
      <c r="P151" s="23" t="s">
        <v>91</v>
      </c>
      <c r="Q151" s="25"/>
      <c r="R151" s="26" t="n">
        <f aca="false">IF(N(I151)=0,"",IF(OR(J151="mg/m²",J151="mg/m²/day"),I151*계산기!$C$14,IF(J151="mg/kg",I151*계산기!$C$6,IF(J151="AUC",I151*(계산기!$C$16+25),IF(J151="mg",I151,"")))))</f>
        <v>632.146640424514</v>
      </c>
      <c r="S151" s="26" t="n">
        <f aca="false">IF(OR(R151="",L151=""),"",R151*L151)</f>
        <v>1264.29328084903</v>
      </c>
      <c r="T151" s="27"/>
      <c r="U151" s="28"/>
    </row>
    <row r="152" customFormat="false" ht="24.6" hidden="false" customHeight="false" outlineLevel="0" collapsed="false">
      <c r="A152" s="23" t="s">
        <v>436</v>
      </c>
      <c r="B152" s="23" t="n">
        <v>29</v>
      </c>
      <c r="C152" s="24" t="s">
        <v>432</v>
      </c>
      <c r="D152" s="25" t="s">
        <v>437</v>
      </c>
      <c r="E152" s="23" t="s">
        <v>111</v>
      </c>
      <c r="F152" s="29" t="s">
        <v>438</v>
      </c>
      <c r="G152" s="25" t="s">
        <v>437</v>
      </c>
      <c r="H152" s="23" t="s">
        <v>106</v>
      </c>
      <c r="I152" s="23" t="n">
        <v>1.8</v>
      </c>
      <c r="J152" s="23" t="s">
        <v>165</v>
      </c>
      <c r="K152" s="23" t="s">
        <v>95</v>
      </c>
      <c r="L152" s="23" t="n">
        <v>1</v>
      </c>
      <c r="M152" s="23" t="n">
        <v>21</v>
      </c>
      <c r="N152" s="23" t="s">
        <v>90</v>
      </c>
      <c r="O152" s="23"/>
      <c r="P152" s="23" t="s">
        <v>91</v>
      </c>
      <c r="Q152" s="24" t="s">
        <v>439</v>
      </c>
      <c r="R152" s="26" t="n">
        <f aca="false">IF(N(I152)=0,"",IF(OR(J152="mg/m²",J152="mg/m²/day"),I152*계산기!$C$14,IF(J152="mg/kg",I152*계산기!$C$6,IF(J152="AUC",I152*(계산기!$C$16+25),IF(J152="mg",I152,"")))))</f>
        <v>111.6</v>
      </c>
      <c r="S152" s="26" t="n">
        <f aca="false">IF(OR(R152="",L152=""),"",R152*L152)</f>
        <v>111.6</v>
      </c>
      <c r="T152" s="27" t="s">
        <v>92</v>
      </c>
      <c r="U152" s="28" t="s">
        <v>93</v>
      </c>
    </row>
    <row r="153" customFormat="false" ht="15" hidden="false" customHeight="false" outlineLevel="0" collapsed="false">
      <c r="A153" s="23" t="s">
        <v>440</v>
      </c>
      <c r="B153" s="23" t="n">
        <v>31</v>
      </c>
      <c r="C153" s="24" t="s">
        <v>441</v>
      </c>
      <c r="D153" s="25" t="s">
        <v>442</v>
      </c>
      <c r="E153" s="29" t="s">
        <v>357</v>
      </c>
      <c r="F153" s="23" t="s">
        <v>85</v>
      </c>
      <c r="G153" s="25" t="s">
        <v>443</v>
      </c>
      <c r="H153" s="23" t="s">
        <v>106</v>
      </c>
      <c r="I153" s="23" t="n">
        <v>1.3</v>
      </c>
      <c r="J153" s="23" t="s">
        <v>88</v>
      </c>
      <c r="K153" s="23" t="s">
        <v>444</v>
      </c>
      <c r="L153" s="23" t="n">
        <v>4</v>
      </c>
      <c r="M153" s="23" t="n">
        <v>21</v>
      </c>
      <c r="N153" s="23" t="s">
        <v>90</v>
      </c>
      <c r="O153" s="23"/>
      <c r="P153" s="23" t="s">
        <v>371</v>
      </c>
      <c r="Q153" s="25"/>
      <c r="R153" s="26" t="n">
        <f aca="false">IF(N(I153)=0,"",IF(OR(J153="mg/m²",J153="mg/m²/day"),I153*계산기!$C$14,IF(J153="mg/kg",I153*계산기!$C$6,IF(J153="AUC",I153*(계산기!$C$16+25),IF(J153="mg",I153,"")))))</f>
        <v>2.19144168680498</v>
      </c>
      <c r="S153" s="26" t="n">
        <f aca="false">IF(OR(R153="",L153=""),"",R153*L153)</f>
        <v>8.76576674721993</v>
      </c>
      <c r="T153" s="27" t="s">
        <v>92</v>
      </c>
      <c r="U153" s="28" t="s">
        <v>93</v>
      </c>
    </row>
    <row r="154" customFormat="false" ht="15" hidden="false" customHeight="false" outlineLevel="0" collapsed="false">
      <c r="A154" s="23"/>
      <c r="B154" s="23"/>
      <c r="C154" s="25"/>
      <c r="D154" s="25"/>
      <c r="E154" s="23"/>
      <c r="F154" s="23"/>
      <c r="G154" s="25" t="s">
        <v>445</v>
      </c>
      <c r="H154" s="23" t="s">
        <v>106</v>
      </c>
      <c r="I154" s="23" t="n">
        <v>25</v>
      </c>
      <c r="J154" s="23" t="s">
        <v>107</v>
      </c>
      <c r="K154" s="23" t="s">
        <v>222</v>
      </c>
      <c r="L154" s="23" t="n">
        <v>1</v>
      </c>
      <c r="M154" s="23" t="n">
        <v>21</v>
      </c>
      <c r="N154" s="23" t="s">
        <v>90</v>
      </c>
      <c r="O154" s="23"/>
      <c r="P154" s="23" t="s">
        <v>138</v>
      </c>
      <c r="Q154" s="25"/>
      <c r="R154" s="26" t="n">
        <f aca="false">IF(N(I154)=0,"",IF(OR(J154="mg/m²",J154="mg/m²/day"),I154*계산기!$C$14,IF(J154="mg/kg",I154*계산기!$C$6,IF(J154="AUC",I154*(계산기!$C$16+25),IF(J154="mg",I154,"")))))</f>
        <v>25</v>
      </c>
      <c r="S154" s="26" t="n">
        <f aca="false">IF(OR(R154="",L154=""),"",R154*L154)</f>
        <v>25</v>
      </c>
      <c r="T154" s="27"/>
      <c r="U154" s="28"/>
    </row>
    <row r="155" customFormat="false" ht="22.35" hidden="false" customHeight="false" outlineLevel="0" collapsed="false">
      <c r="A155" s="23"/>
      <c r="B155" s="23"/>
      <c r="C155" s="25"/>
      <c r="D155" s="25"/>
      <c r="E155" s="23"/>
      <c r="F155" s="23"/>
      <c r="G155" s="25" t="s">
        <v>446</v>
      </c>
      <c r="H155" s="23" t="s">
        <v>87</v>
      </c>
      <c r="I155" s="23" t="n">
        <v>20</v>
      </c>
      <c r="J155" s="23" t="s">
        <v>107</v>
      </c>
      <c r="K155" s="23" t="s">
        <v>447</v>
      </c>
      <c r="L155" s="23" t="n">
        <v>8</v>
      </c>
      <c r="M155" s="23" t="n">
        <v>21</v>
      </c>
      <c r="N155" s="23" t="s">
        <v>90</v>
      </c>
      <c r="O155" s="23"/>
      <c r="P155" s="23" t="s">
        <v>138</v>
      </c>
      <c r="Q155" s="25"/>
      <c r="R155" s="26" t="n">
        <f aca="false">IF(N(I155)=0,"",IF(OR(J155="mg/m²",J155="mg/m²/day"),I155*계산기!$C$14,IF(J155="mg/kg",I155*계산기!$C$6,IF(J155="AUC",I155*(계산기!$C$16+25),IF(J155="mg",I155,"")))))</f>
        <v>20</v>
      </c>
      <c r="S155" s="26" t="n">
        <f aca="false">IF(OR(R155="",L155=""),"",R155*L155)</f>
        <v>160</v>
      </c>
      <c r="T155" s="27"/>
      <c r="U155" s="28"/>
    </row>
    <row r="156" customFormat="false" ht="24.6" hidden="false" customHeight="false" outlineLevel="0" collapsed="false">
      <c r="A156" s="23" t="s">
        <v>448</v>
      </c>
      <c r="B156" s="23" t="n">
        <v>31</v>
      </c>
      <c r="C156" s="24" t="s">
        <v>441</v>
      </c>
      <c r="D156" s="25" t="s">
        <v>449</v>
      </c>
      <c r="E156" s="23" t="s">
        <v>99</v>
      </c>
      <c r="F156" s="23" t="s">
        <v>429</v>
      </c>
      <c r="G156" s="25" t="s">
        <v>450</v>
      </c>
      <c r="H156" s="23" t="s">
        <v>106</v>
      </c>
      <c r="I156" s="23" t="n">
        <v>16</v>
      </c>
      <c r="J156" s="23" t="s">
        <v>165</v>
      </c>
      <c r="K156" s="23" t="s">
        <v>451</v>
      </c>
      <c r="L156" s="23" t="n">
        <v>1</v>
      </c>
      <c r="M156" s="23" t="n">
        <v>7</v>
      </c>
      <c r="N156" s="23" t="s">
        <v>452</v>
      </c>
      <c r="O156" s="23"/>
      <c r="P156" s="23" t="s">
        <v>91</v>
      </c>
      <c r="Q156" s="24" t="s">
        <v>453</v>
      </c>
      <c r="R156" s="26" t="n">
        <f aca="false">IF(N(I156)=0,"",IF(OR(J156="mg/m²",J156="mg/m²/day"),I156*계산기!$C$14,IF(J156="mg/kg",I156*계산기!$C$6,IF(J156="AUC",I156*(계산기!$C$16+25),IF(J156="mg",I156,"")))))</f>
        <v>992</v>
      </c>
      <c r="S156" s="26" t="n">
        <f aca="false">IF(OR(R156="",L156=""),"",R156*L156)</f>
        <v>992</v>
      </c>
      <c r="T156" s="27" t="s">
        <v>92</v>
      </c>
      <c r="U156" s="28" t="s">
        <v>93</v>
      </c>
    </row>
    <row r="157" customFormat="false" ht="15" hidden="false" customHeight="false" outlineLevel="0" collapsed="false">
      <c r="A157" s="23"/>
      <c r="B157" s="23"/>
      <c r="C157" s="25"/>
      <c r="D157" s="25"/>
      <c r="E157" s="23"/>
      <c r="F157" s="23"/>
      <c r="G157" s="25" t="s">
        <v>445</v>
      </c>
      <c r="H157" s="23" t="s">
        <v>106</v>
      </c>
      <c r="I157" s="23" t="n">
        <v>25</v>
      </c>
      <c r="J157" s="23" t="s">
        <v>107</v>
      </c>
      <c r="K157" s="23" t="s">
        <v>213</v>
      </c>
      <c r="L157" s="23" t="n">
        <v>1</v>
      </c>
      <c r="M157" s="23" t="n">
        <v>28</v>
      </c>
      <c r="N157" s="23" t="s">
        <v>172</v>
      </c>
      <c r="O157" s="23"/>
      <c r="P157" s="23" t="s">
        <v>138</v>
      </c>
      <c r="Q157" s="25"/>
      <c r="R157" s="26" t="n">
        <f aca="false">IF(N(I157)=0,"",IF(OR(J157="mg/m²",J157="mg/m²/day"),I157*계산기!$C$14,IF(J157="mg/kg",I157*계산기!$C$6,IF(J157="AUC",I157*(계산기!$C$16+25),IF(J157="mg",I157,"")))))</f>
        <v>25</v>
      </c>
      <c r="S157" s="26" t="n">
        <f aca="false">IF(OR(R157="",L157=""),"",R157*L157)</f>
        <v>25</v>
      </c>
      <c r="T157" s="27"/>
      <c r="U157" s="28"/>
    </row>
    <row r="158" customFormat="false" ht="15" hidden="false" customHeight="false" outlineLevel="0" collapsed="false">
      <c r="A158" s="23"/>
      <c r="B158" s="23"/>
      <c r="C158" s="25"/>
      <c r="D158" s="25"/>
      <c r="E158" s="23"/>
      <c r="F158" s="23"/>
      <c r="G158" s="25" t="s">
        <v>446</v>
      </c>
      <c r="H158" s="23" t="s">
        <v>87</v>
      </c>
      <c r="I158" s="23" t="n">
        <v>40</v>
      </c>
      <c r="J158" s="23" t="s">
        <v>107</v>
      </c>
      <c r="K158" s="23" t="s">
        <v>179</v>
      </c>
      <c r="L158" s="23" t="n">
        <v>1</v>
      </c>
      <c r="M158" s="23" t="n">
        <v>7</v>
      </c>
      <c r="N158" s="23" t="s">
        <v>179</v>
      </c>
      <c r="O158" s="23"/>
      <c r="P158" s="23" t="s">
        <v>138</v>
      </c>
      <c r="Q158" s="25"/>
      <c r="R158" s="26" t="n">
        <f aca="false">IF(N(I158)=0,"",IF(OR(J158="mg/m²",J158="mg/m²/day"),I158*계산기!$C$14,IF(J158="mg/kg",I158*계산기!$C$6,IF(J158="AUC",I158*(계산기!$C$16+25),IF(J158="mg",I158,"")))))</f>
        <v>40</v>
      </c>
      <c r="S158" s="26" t="n">
        <f aca="false">IF(OR(R158="",L158=""),"",R158*L158)</f>
        <v>40</v>
      </c>
      <c r="T158" s="27"/>
      <c r="U158" s="28"/>
    </row>
    <row r="159" customFormat="false" ht="15" hidden="false" customHeight="false" outlineLevel="0" collapsed="false">
      <c r="A159" s="23" t="s">
        <v>454</v>
      </c>
      <c r="B159" s="23" t="n">
        <v>32</v>
      </c>
      <c r="C159" s="24" t="s">
        <v>455</v>
      </c>
      <c r="D159" s="25" t="s">
        <v>456</v>
      </c>
      <c r="E159" s="23" t="s">
        <v>457</v>
      </c>
      <c r="F159" s="29" t="s">
        <v>357</v>
      </c>
      <c r="G159" s="25" t="s">
        <v>458</v>
      </c>
      <c r="H159" s="23" t="s">
        <v>87</v>
      </c>
      <c r="I159" s="23" t="n">
        <v>100</v>
      </c>
      <c r="J159" s="23" t="s">
        <v>391</v>
      </c>
      <c r="K159" s="23" t="s">
        <v>459</v>
      </c>
      <c r="L159" s="23" t="n">
        <v>1</v>
      </c>
      <c r="M159" s="23" t="n">
        <v>1</v>
      </c>
      <c r="N159" s="23" t="s">
        <v>299</v>
      </c>
      <c r="O159" s="23"/>
      <c r="P159" s="23" t="s">
        <v>91</v>
      </c>
      <c r="Q159" s="24" t="s">
        <v>460</v>
      </c>
      <c r="R159" s="26" t="n">
        <f aca="false">IF(N(I159)=0,"",IF(OR(J159="mg/m²",J159="mg/m²/day"),I159*계산기!$C$14,IF(J159="mg/kg",I159*계산기!$C$6,IF(J159="AUC",I159*(계산기!$C$16+25),IF(J159="mg",I159,"")))))</f>
        <v>168.572437446537</v>
      </c>
      <c r="S159" s="26" t="n">
        <f aca="false">IF(OR(R159="",L159=""),"",R159*L159)</f>
        <v>168.572437446537</v>
      </c>
      <c r="T159" s="27" t="s">
        <v>92</v>
      </c>
      <c r="U159" s="28" t="s">
        <v>93</v>
      </c>
    </row>
    <row r="160" customFormat="false" ht="15" hidden="false" customHeight="false" outlineLevel="0" collapsed="false">
      <c r="A160" s="23"/>
      <c r="B160" s="23"/>
      <c r="C160" s="25"/>
      <c r="D160" s="25"/>
      <c r="E160" s="23"/>
      <c r="F160" s="23"/>
      <c r="G160" s="25" t="s">
        <v>461</v>
      </c>
      <c r="H160" s="23" t="s">
        <v>87</v>
      </c>
      <c r="I160" s="23" t="n">
        <v>60</v>
      </c>
      <c r="J160" s="23" t="s">
        <v>88</v>
      </c>
      <c r="K160" s="23" t="s">
        <v>89</v>
      </c>
      <c r="L160" s="23" t="n">
        <v>3</v>
      </c>
      <c r="M160" s="23" t="n">
        <v>1</v>
      </c>
      <c r="N160" s="23" t="s">
        <v>299</v>
      </c>
      <c r="O160" s="23"/>
      <c r="P160" s="23" t="s">
        <v>91</v>
      </c>
      <c r="Q160" s="25" t="s">
        <v>462</v>
      </c>
      <c r="R160" s="26" t="n">
        <f aca="false">IF(N(I160)=0,"",IF(OR(J160="mg/m²",J160="mg/m²/day"),I160*계산기!$C$14,IF(J160="mg/kg",I160*계산기!$C$6,IF(J160="AUC",I160*(계산기!$C$16+25),IF(J160="mg",I160,"")))))</f>
        <v>101.143462467922</v>
      </c>
      <c r="S160" s="26" t="n">
        <f aca="false">IF(OR(R160="",L160=""),"",R160*L160)</f>
        <v>303.430387403767</v>
      </c>
      <c r="T160" s="27"/>
      <c r="U160" s="28"/>
    </row>
    <row r="161" customFormat="false" ht="22.35" hidden="false" customHeight="false" outlineLevel="0" collapsed="false">
      <c r="A161" s="23" t="s">
        <v>463</v>
      </c>
      <c r="B161" s="23" t="n">
        <v>32</v>
      </c>
      <c r="C161" s="24" t="s">
        <v>455</v>
      </c>
      <c r="D161" s="25" t="s">
        <v>464</v>
      </c>
      <c r="E161" s="23" t="s">
        <v>465</v>
      </c>
      <c r="F161" s="29" t="s">
        <v>466</v>
      </c>
      <c r="G161" s="25" t="s">
        <v>458</v>
      </c>
      <c r="H161" s="23" t="s">
        <v>87</v>
      </c>
      <c r="I161" s="23" t="n">
        <v>3000</v>
      </c>
      <c r="J161" s="23" t="s">
        <v>88</v>
      </c>
      <c r="K161" s="23" t="s">
        <v>467</v>
      </c>
      <c r="L161" s="23" t="n">
        <v>6</v>
      </c>
      <c r="M161" s="23" t="n">
        <v>28</v>
      </c>
      <c r="N161" s="23" t="s">
        <v>172</v>
      </c>
      <c r="O161" s="23" t="n">
        <v>4</v>
      </c>
      <c r="P161" s="23" t="s">
        <v>91</v>
      </c>
      <c r="Q161" s="25" t="s">
        <v>468</v>
      </c>
      <c r="R161" s="26" t="n">
        <f aca="false">IF(N(I161)=0,"",IF(OR(J161="mg/m²",J161="mg/m²/day"),I161*계산기!$C$14,IF(J161="mg/kg",I161*계산기!$C$6,IF(J161="AUC",I161*(계산기!$C$16+25),IF(J161="mg",I161,"")))))</f>
        <v>5057.17312339611</v>
      </c>
      <c r="S161" s="26" t="n">
        <f aca="false">IF(OR(R161="",L161=""),"",R161*L161)</f>
        <v>30343.0387403767</v>
      </c>
      <c r="T161" s="27" t="s">
        <v>92</v>
      </c>
      <c r="U161" s="28" t="s">
        <v>93</v>
      </c>
    </row>
    <row r="162" customFormat="false" ht="15" hidden="false" customHeight="false" outlineLevel="0" collapsed="false">
      <c r="A162" s="23" t="s">
        <v>469</v>
      </c>
      <c r="B162" s="23" t="n">
        <v>32</v>
      </c>
      <c r="C162" s="24" t="s">
        <v>455</v>
      </c>
      <c r="D162" s="25" t="s">
        <v>470</v>
      </c>
      <c r="E162" s="23" t="s">
        <v>99</v>
      </c>
      <c r="F162" s="29" t="s">
        <v>471</v>
      </c>
      <c r="G162" s="25" t="s">
        <v>472</v>
      </c>
      <c r="H162" s="23" t="s">
        <v>106</v>
      </c>
      <c r="I162" s="23" t="n">
        <v>75</v>
      </c>
      <c r="J162" s="23" t="s">
        <v>88</v>
      </c>
      <c r="K162" s="23" t="s">
        <v>459</v>
      </c>
      <c r="L162" s="23" t="n">
        <v>7</v>
      </c>
      <c r="M162" s="23" t="n">
        <v>28</v>
      </c>
      <c r="N162" s="23" t="s">
        <v>172</v>
      </c>
      <c r="O162" s="23"/>
      <c r="P162" s="23" t="s">
        <v>473</v>
      </c>
      <c r="Q162" s="25"/>
      <c r="R162" s="26" t="n">
        <f aca="false">IF(N(I162)=0,"",IF(OR(J162="mg/m²",J162="mg/m²/day"),I162*계산기!$C$14,IF(J162="mg/kg",I162*계산기!$C$6,IF(J162="AUC",I162*(계산기!$C$16+25),IF(J162="mg",I162,"")))))</f>
        <v>126.429328084903</v>
      </c>
      <c r="S162" s="26" t="n">
        <f aca="false">IF(OR(R162="",L162=""),"",R162*L162)</f>
        <v>885.00529659432</v>
      </c>
      <c r="T162" s="27" t="s">
        <v>92</v>
      </c>
      <c r="U162" s="28" t="s">
        <v>93</v>
      </c>
    </row>
    <row r="163" customFormat="false" ht="15" hidden="false" customHeight="false" outlineLevel="0" collapsed="false">
      <c r="A163" s="23"/>
      <c r="B163" s="23"/>
      <c r="C163" s="25"/>
      <c r="D163" s="25"/>
      <c r="E163" s="23"/>
      <c r="F163" s="23"/>
      <c r="G163" s="25" t="s">
        <v>474</v>
      </c>
      <c r="H163" s="23" t="s">
        <v>106</v>
      </c>
      <c r="I163" s="23" t="n">
        <v>400</v>
      </c>
      <c r="J163" s="23" t="s">
        <v>107</v>
      </c>
      <c r="K163" s="29" t="s">
        <v>135</v>
      </c>
      <c r="L163" s="23" t="n">
        <v>1</v>
      </c>
      <c r="M163" s="23" t="n">
        <v>1</v>
      </c>
      <c r="N163" s="23" t="s">
        <v>136</v>
      </c>
      <c r="O163" s="29" t="s">
        <v>137</v>
      </c>
      <c r="P163" s="23" t="s">
        <v>138</v>
      </c>
      <c r="Q163" s="25" t="s">
        <v>475</v>
      </c>
      <c r="R163" s="26" t="n">
        <f aca="false">IF(N(I163)=0,"",IF(OR(J163="mg/m²",J163="mg/m²/day"),I163*계산기!$C$14,IF(J163="mg/kg",I163*계산기!$C$6,IF(J163="AUC",I163*(계산기!$C$16+25),IF(J163="mg",I163,"")))))</f>
        <v>400</v>
      </c>
      <c r="S163" s="26" t="n">
        <f aca="false">IF(OR(R163="",L163=""),"",R163*L163)</f>
        <v>400</v>
      </c>
      <c r="T163" s="27"/>
      <c r="U163" s="28"/>
    </row>
    <row r="164" customFormat="false" ht="26.85" hidden="false" customHeight="false" outlineLevel="0" collapsed="false">
      <c r="A164" s="23" t="s">
        <v>476</v>
      </c>
      <c r="B164" s="23" t="n">
        <v>33</v>
      </c>
      <c r="C164" s="24" t="s">
        <v>477</v>
      </c>
      <c r="D164" s="25" t="s">
        <v>478</v>
      </c>
      <c r="E164" s="23" t="s">
        <v>457</v>
      </c>
      <c r="F164" s="29" t="s">
        <v>357</v>
      </c>
      <c r="G164" s="25" t="s">
        <v>479</v>
      </c>
      <c r="H164" s="23" t="s">
        <v>87</v>
      </c>
      <c r="I164" s="23" t="n">
        <v>45</v>
      </c>
      <c r="J164" s="23" t="s">
        <v>391</v>
      </c>
      <c r="K164" s="29" t="s">
        <v>392</v>
      </c>
      <c r="L164" s="23" t="n">
        <v>1</v>
      </c>
      <c r="M164" s="23" t="n">
        <v>1</v>
      </c>
      <c r="N164" s="23" t="s">
        <v>136</v>
      </c>
      <c r="O164" s="29" t="s">
        <v>480</v>
      </c>
      <c r="P164" s="23" t="s">
        <v>138</v>
      </c>
      <c r="Q164" s="25"/>
      <c r="R164" s="26" t="n">
        <f aca="false">IF(N(I164)=0,"",IF(OR(J164="mg/m²",J164="mg/m²/day"),I164*계산기!$C$14,IF(J164="mg/kg",I164*계산기!$C$6,IF(J164="AUC",I164*(계산기!$C$16+25),IF(J164="mg",I164,"")))))</f>
        <v>75.8575968509417</v>
      </c>
      <c r="S164" s="26" t="n">
        <f aca="false">IF(OR(R164="",L164=""),"",R164*L164)</f>
        <v>75.8575968509417</v>
      </c>
      <c r="T164" s="27" t="s">
        <v>92</v>
      </c>
      <c r="U164" s="28" t="s">
        <v>93</v>
      </c>
    </row>
    <row r="165" customFormat="false" ht="15" hidden="false" customHeight="false" outlineLevel="0" collapsed="false">
      <c r="A165" s="23"/>
      <c r="B165" s="23"/>
      <c r="C165" s="25"/>
      <c r="D165" s="25"/>
      <c r="E165" s="23"/>
      <c r="F165" s="23"/>
      <c r="G165" s="25" t="s">
        <v>481</v>
      </c>
      <c r="H165" s="23" t="s">
        <v>106</v>
      </c>
      <c r="I165" s="23" t="n">
        <v>0.15</v>
      </c>
      <c r="J165" s="23" t="s">
        <v>482</v>
      </c>
      <c r="K165" s="29" t="s">
        <v>392</v>
      </c>
      <c r="L165" s="23" t="n">
        <v>1</v>
      </c>
      <c r="M165" s="23" t="n">
        <v>1</v>
      </c>
      <c r="N165" s="23" t="s">
        <v>136</v>
      </c>
      <c r="O165" s="29" t="s">
        <v>480</v>
      </c>
      <c r="P165" s="23" t="s">
        <v>91</v>
      </c>
      <c r="Q165" s="25"/>
      <c r="R165" s="26" t="str">
        <f aca="false">IF(N(I165)=0,"",IF(OR(J165="mg/m²",J165="mg/m²/day"),I165*계산기!$C$14,IF(J165="mg/kg",I165*계산기!$C$6,IF(J165="AUC",I165*(계산기!$C$16+25),IF(J165="mg",I165,"")))))</f>
        <v/>
      </c>
      <c r="S165" s="26" t="str">
        <f aca="false">IF(OR(R165="",L165=""),"",R165*L165)</f>
        <v/>
      </c>
      <c r="T165" s="27"/>
      <c r="U165" s="28"/>
    </row>
    <row r="166" customFormat="false" ht="15" hidden="false" customHeight="false" outlineLevel="0" collapsed="false">
      <c r="A166" s="23" t="s">
        <v>483</v>
      </c>
      <c r="B166" s="23" t="n">
        <v>34</v>
      </c>
      <c r="C166" s="24" t="s">
        <v>484</v>
      </c>
      <c r="D166" s="25" t="s">
        <v>485</v>
      </c>
      <c r="E166" s="23" t="s">
        <v>99</v>
      </c>
      <c r="F166" s="23" t="s">
        <v>85</v>
      </c>
      <c r="G166" s="25" t="s">
        <v>485</v>
      </c>
      <c r="H166" s="23" t="s">
        <v>106</v>
      </c>
      <c r="I166" s="23" t="n">
        <v>400</v>
      </c>
      <c r="J166" s="23" t="s">
        <v>107</v>
      </c>
      <c r="K166" s="29" t="s">
        <v>135</v>
      </c>
      <c r="L166" s="23" t="n">
        <v>1</v>
      </c>
      <c r="M166" s="23" t="n">
        <v>1</v>
      </c>
      <c r="N166" s="23" t="s">
        <v>136</v>
      </c>
      <c r="O166" s="29" t="s">
        <v>137</v>
      </c>
      <c r="P166" s="23" t="s">
        <v>138</v>
      </c>
      <c r="Q166" s="24" t="s">
        <v>486</v>
      </c>
      <c r="R166" s="26" t="n">
        <f aca="false">IF(N(I166)=0,"",IF(OR(J166="mg/m²",J166="mg/m²/day"),I166*계산기!$C$14,IF(J166="mg/kg",I166*계산기!$C$6,IF(J166="AUC",I166*(계산기!$C$16+25),IF(J166="mg",I166,"")))))</f>
        <v>400</v>
      </c>
      <c r="S166" s="26" t="n">
        <f aca="false">IF(OR(R166="",L166=""),"",R166*L166)</f>
        <v>400</v>
      </c>
      <c r="T166" s="27" t="s">
        <v>92</v>
      </c>
      <c r="U166" s="28" t="s">
        <v>93</v>
      </c>
    </row>
    <row r="167" customFormat="false" ht="15" hidden="false" customHeight="false" outlineLevel="0" collapsed="false">
      <c r="A167" s="23" t="s">
        <v>487</v>
      </c>
      <c r="B167" s="23" t="n">
        <v>34</v>
      </c>
      <c r="C167" s="24" t="s">
        <v>484</v>
      </c>
      <c r="D167" s="25" t="s">
        <v>488</v>
      </c>
      <c r="E167" s="23" t="s">
        <v>99</v>
      </c>
      <c r="F167" s="23" t="s">
        <v>142</v>
      </c>
      <c r="G167" s="25" t="s">
        <v>488</v>
      </c>
      <c r="H167" s="23" t="s">
        <v>106</v>
      </c>
      <c r="I167" s="23" t="n">
        <v>100</v>
      </c>
      <c r="J167" s="23" t="s">
        <v>107</v>
      </c>
      <c r="K167" s="29" t="s">
        <v>135</v>
      </c>
      <c r="L167" s="23" t="n">
        <v>1</v>
      </c>
      <c r="M167" s="23" t="n">
        <v>1</v>
      </c>
      <c r="N167" s="23" t="s">
        <v>136</v>
      </c>
      <c r="O167" s="29" t="s">
        <v>137</v>
      </c>
      <c r="P167" s="23" t="s">
        <v>138</v>
      </c>
      <c r="Q167" s="25"/>
      <c r="R167" s="26" t="n">
        <f aca="false">IF(N(I167)=0,"",IF(OR(J167="mg/m²",J167="mg/m²/day"),I167*계산기!$C$14,IF(J167="mg/kg",I167*계산기!$C$6,IF(J167="AUC",I167*(계산기!$C$16+25),IF(J167="mg",I167,"")))))</f>
        <v>100</v>
      </c>
      <c r="S167" s="26" t="n">
        <f aca="false">IF(OR(R167="",L167=""),"",R167*L167)</f>
        <v>100</v>
      </c>
      <c r="T167" s="27" t="s">
        <v>92</v>
      </c>
      <c r="U167" s="28" t="s">
        <v>93</v>
      </c>
    </row>
    <row r="168" customFormat="false" ht="15" hidden="false" customHeight="false" outlineLevel="0" collapsed="false">
      <c r="A168" s="23" t="s">
        <v>489</v>
      </c>
      <c r="B168" s="23" t="n">
        <v>34</v>
      </c>
      <c r="C168" s="24" t="s">
        <v>484</v>
      </c>
      <c r="D168" s="25" t="s">
        <v>490</v>
      </c>
      <c r="E168" s="23" t="s">
        <v>99</v>
      </c>
      <c r="F168" s="23" t="s">
        <v>142</v>
      </c>
      <c r="G168" s="25" t="s">
        <v>490</v>
      </c>
      <c r="H168" s="23" t="s">
        <v>106</v>
      </c>
      <c r="I168" s="23" t="n">
        <v>300</v>
      </c>
      <c r="J168" s="23" t="s">
        <v>107</v>
      </c>
      <c r="K168" s="23" t="s">
        <v>145</v>
      </c>
      <c r="L168" s="23" t="n">
        <v>2</v>
      </c>
      <c r="M168" s="23" t="n">
        <v>1</v>
      </c>
      <c r="N168" s="23" t="s">
        <v>136</v>
      </c>
      <c r="O168" s="29" t="s">
        <v>137</v>
      </c>
      <c r="P168" s="23" t="s">
        <v>138</v>
      </c>
      <c r="Q168" s="25" t="s">
        <v>491</v>
      </c>
      <c r="R168" s="26" t="n">
        <f aca="false">IF(N(I168)=0,"",IF(OR(J168="mg/m²",J168="mg/m²/day"),I168*계산기!$C$14,IF(J168="mg/kg",I168*계산기!$C$6,IF(J168="AUC",I168*(계산기!$C$16+25),IF(J168="mg",I168,"")))))</f>
        <v>300</v>
      </c>
      <c r="S168" s="26" t="n">
        <f aca="false">IF(OR(R168="",L168=""),"",R168*L168)</f>
        <v>600</v>
      </c>
      <c r="T168" s="27" t="s">
        <v>92</v>
      </c>
      <c r="U168" s="28" t="s">
        <v>93</v>
      </c>
    </row>
    <row r="169" customFormat="false" ht="26.85" hidden="false" customHeight="false" outlineLevel="0" collapsed="false">
      <c r="A169" s="23" t="s">
        <v>492</v>
      </c>
      <c r="B169" s="23" t="n">
        <v>35</v>
      </c>
      <c r="C169" s="24" t="s">
        <v>493</v>
      </c>
      <c r="D169" s="25" t="s">
        <v>494</v>
      </c>
      <c r="E169" s="23" t="s">
        <v>111</v>
      </c>
      <c r="F169" s="29" t="s">
        <v>495</v>
      </c>
      <c r="G169" s="25" t="s">
        <v>494</v>
      </c>
      <c r="H169" s="23" t="s">
        <v>106</v>
      </c>
      <c r="I169" s="23" t="n">
        <v>28</v>
      </c>
      <c r="J169" s="23" t="s">
        <v>496</v>
      </c>
      <c r="K169" s="29" t="s">
        <v>497</v>
      </c>
      <c r="L169" s="23" t="n">
        <v>1</v>
      </c>
      <c r="M169" s="23" t="n">
        <v>1</v>
      </c>
      <c r="N169" s="23" t="s">
        <v>498</v>
      </c>
      <c r="O169" s="23"/>
      <c r="P169" s="23" t="s">
        <v>91</v>
      </c>
      <c r="Q169" s="25" t="s">
        <v>499</v>
      </c>
      <c r="R169" s="26" t="str">
        <f aca="false">IF(N(I169)=0,"",IF(OR(J169="mg/m²",J169="mg/m²/day"),I169*계산기!$C$14,IF(J169="mg/kg",I169*계산기!$C$6,IF(J169="AUC",I169*(계산기!$C$16+25),IF(J169="mg",I169,"")))))</f>
        <v/>
      </c>
      <c r="S169" s="26" t="str">
        <f aca="false">IF(OR(R169="",L169=""),"",R169*L169)</f>
        <v/>
      </c>
      <c r="T169" s="27" t="s">
        <v>305</v>
      </c>
      <c r="U169" s="30" t="s">
        <v>306</v>
      </c>
    </row>
    <row r="170" customFormat="false" ht="26.85" hidden="false" customHeight="false" outlineLevel="0" collapsed="false">
      <c r="A170" s="23" t="s">
        <v>500</v>
      </c>
      <c r="B170" s="23" t="n">
        <v>35</v>
      </c>
      <c r="C170" s="24" t="s">
        <v>493</v>
      </c>
      <c r="D170" s="25" t="s">
        <v>501</v>
      </c>
      <c r="E170" s="23" t="s">
        <v>111</v>
      </c>
      <c r="F170" s="29" t="s">
        <v>502</v>
      </c>
      <c r="G170" s="25" t="s">
        <v>501</v>
      </c>
      <c r="H170" s="23" t="s">
        <v>106</v>
      </c>
      <c r="I170" s="23" t="n">
        <v>1.8</v>
      </c>
      <c r="J170" s="23" t="s">
        <v>88</v>
      </c>
      <c r="K170" s="29" t="s">
        <v>503</v>
      </c>
      <c r="L170" s="23" t="n">
        <v>3</v>
      </c>
      <c r="M170" s="23" t="n">
        <v>21</v>
      </c>
      <c r="N170" s="23" t="s">
        <v>90</v>
      </c>
      <c r="O170" s="23"/>
      <c r="P170" s="23" t="s">
        <v>91</v>
      </c>
      <c r="Q170" s="25" t="s">
        <v>504</v>
      </c>
      <c r="R170" s="26" t="n">
        <f aca="false">IF(N(I170)=0,"",IF(OR(J170="mg/m²",J170="mg/m²/day"),I170*계산기!$C$14,IF(J170="mg/kg",I170*계산기!$C$6,IF(J170="AUC",I170*(계산기!$C$16+25),IF(J170="mg",I170,"")))))</f>
        <v>3.03430387403767</v>
      </c>
      <c r="S170" s="26" t="n">
        <f aca="false">IF(OR(R170="",L170=""),"",R170*L170)</f>
        <v>9.102911622113</v>
      </c>
      <c r="T170" s="27" t="s">
        <v>305</v>
      </c>
      <c r="U170" s="30" t="s">
        <v>306</v>
      </c>
    </row>
    <row r="171" customFormat="false" ht="26.85" hidden="false" customHeight="false" outlineLevel="0" collapsed="false">
      <c r="A171" s="23" t="s">
        <v>505</v>
      </c>
      <c r="B171" s="23" t="n">
        <v>36</v>
      </c>
      <c r="C171" s="24" t="s">
        <v>506</v>
      </c>
      <c r="D171" s="25" t="s">
        <v>507</v>
      </c>
      <c r="E171" s="23" t="s">
        <v>99</v>
      </c>
      <c r="F171" s="23" t="s">
        <v>85</v>
      </c>
      <c r="G171" s="25" t="s">
        <v>508</v>
      </c>
      <c r="H171" s="23" t="s">
        <v>87</v>
      </c>
      <c r="I171" s="23" t="n">
        <v>25</v>
      </c>
      <c r="J171" s="23" t="s">
        <v>88</v>
      </c>
      <c r="K171" s="23" t="s">
        <v>89</v>
      </c>
      <c r="L171" s="23" t="n">
        <v>3</v>
      </c>
      <c r="M171" s="23" t="n">
        <v>28</v>
      </c>
      <c r="N171" s="23" t="s">
        <v>172</v>
      </c>
      <c r="O171" s="23" t="n">
        <v>6</v>
      </c>
      <c r="P171" s="23" t="s">
        <v>91</v>
      </c>
      <c r="Q171" s="25"/>
      <c r="R171" s="26" t="n">
        <f aca="false">IF(N(I171)=0,"",IF(OR(J171="mg/m²",J171="mg/m²/day"),I171*계산기!$C$14,IF(J171="mg/kg",I171*계산기!$C$6,IF(J171="AUC",I171*(계산기!$C$16+25),IF(J171="mg",I171,"")))))</f>
        <v>42.1431093616343</v>
      </c>
      <c r="S171" s="26" t="n">
        <f aca="false">IF(OR(R171="",L171=""),"",R171*L171)</f>
        <v>126.429328084903</v>
      </c>
      <c r="T171" s="27" t="s">
        <v>92</v>
      </c>
      <c r="U171" s="28" t="s">
        <v>93</v>
      </c>
    </row>
    <row r="172" customFormat="false" ht="15" hidden="false" customHeight="false" outlineLevel="0" collapsed="false">
      <c r="A172" s="23"/>
      <c r="B172" s="23"/>
      <c r="C172" s="25"/>
      <c r="D172" s="25"/>
      <c r="E172" s="23"/>
      <c r="F172" s="23"/>
      <c r="G172" s="25" t="s">
        <v>247</v>
      </c>
      <c r="H172" s="23" t="s">
        <v>87</v>
      </c>
      <c r="I172" s="23" t="n">
        <v>250</v>
      </c>
      <c r="J172" s="23" t="s">
        <v>88</v>
      </c>
      <c r="K172" s="23" t="s">
        <v>89</v>
      </c>
      <c r="L172" s="23" t="n">
        <v>3</v>
      </c>
      <c r="M172" s="23" t="n">
        <v>28</v>
      </c>
      <c r="N172" s="23" t="s">
        <v>172</v>
      </c>
      <c r="O172" s="23" t="n">
        <v>6</v>
      </c>
      <c r="P172" s="23" t="s">
        <v>91</v>
      </c>
      <c r="Q172" s="25"/>
      <c r="R172" s="26" t="n">
        <f aca="false">IF(N(I172)=0,"",IF(OR(J172="mg/m²",J172="mg/m²/day"),I172*계산기!$C$14,IF(J172="mg/kg",I172*계산기!$C$6,IF(J172="AUC",I172*(계산기!$C$16+25),IF(J172="mg",I172,"")))))</f>
        <v>421.431093616343</v>
      </c>
      <c r="S172" s="26" t="n">
        <f aca="false">IF(OR(R172="",L172=""),"",R172*L172)</f>
        <v>1264.29328084903</v>
      </c>
      <c r="T172" s="27"/>
      <c r="U172" s="28"/>
    </row>
    <row r="173" customFormat="false" ht="15" hidden="false" customHeight="false" outlineLevel="0" collapsed="false">
      <c r="A173" s="23"/>
      <c r="B173" s="23"/>
      <c r="C173" s="25"/>
      <c r="D173" s="25"/>
      <c r="E173" s="23"/>
      <c r="F173" s="23"/>
      <c r="G173" s="25" t="s">
        <v>423</v>
      </c>
      <c r="H173" s="23" t="s">
        <v>106</v>
      </c>
      <c r="I173" s="23" t="n">
        <v>375</v>
      </c>
      <c r="J173" s="23" t="s">
        <v>88</v>
      </c>
      <c r="K173" s="23" t="s">
        <v>95</v>
      </c>
      <c r="L173" s="23" t="n">
        <v>1</v>
      </c>
      <c r="M173" s="23" t="n">
        <v>28</v>
      </c>
      <c r="N173" s="23" t="s">
        <v>172</v>
      </c>
      <c r="O173" s="23" t="n">
        <v>6</v>
      </c>
      <c r="P173" s="23" t="s">
        <v>91</v>
      </c>
      <c r="Q173" s="25" t="s">
        <v>509</v>
      </c>
      <c r="R173" s="26" t="n">
        <f aca="false">IF(N(I173)=0,"",IF(OR(J173="mg/m²",J173="mg/m²/day"),I173*계산기!$C$14,IF(J173="mg/kg",I173*계산기!$C$6,IF(J173="AUC",I173*(계산기!$C$16+25),IF(J173="mg",I173,"")))))</f>
        <v>632.146640424514</v>
      </c>
      <c r="S173" s="26" t="n">
        <f aca="false">IF(OR(R173="",L173=""),"",R173*L173)</f>
        <v>632.146640424514</v>
      </c>
      <c r="T173" s="27"/>
      <c r="U173" s="28"/>
    </row>
    <row r="174" customFormat="false" ht="26.85" hidden="false" customHeight="false" outlineLevel="0" collapsed="false">
      <c r="A174" s="23" t="s">
        <v>510</v>
      </c>
      <c r="B174" s="23" t="n">
        <v>36</v>
      </c>
      <c r="C174" s="24" t="s">
        <v>506</v>
      </c>
      <c r="D174" s="25" t="s">
        <v>511</v>
      </c>
      <c r="E174" s="23" t="s">
        <v>99</v>
      </c>
      <c r="F174" s="23" t="s">
        <v>142</v>
      </c>
      <c r="G174" s="25" t="s">
        <v>511</v>
      </c>
      <c r="H174" s="23" t="s">
        <v>106</v>
      </c>
      <c r="I174" s="23" t="n">
        <v>420</v>
      </c>
      <c r="J174" s="23" t="s">
        <v>107</v>
      </c>
      <c r="K174" s="29" t="s">
        <v>135</v>
      </c>
      <c r="L174" s="23" t="n">
        <v>1</v>
      </c>
      <c r="M174" s="23" t="n">
        <v>1</v>
      </c>
      <c r="N174" s="23" t="s">
        <v>136</v>
      </c>
      <c r="O174" s="29" t="s">
        <v>137</v>
      </c>
      <c r="P174" s="23" t="s">
        <v>138</v>
      </c>
      <c r="Q174" s="25"/>
      <c r="R174" s="26" t="n">
        <f aca="false">IF(N(I174)=0,"",IF(OR(J174="mg/m²",J174="mg/m²/day"),I174*계산기!$C$14,IF(J174="mg/kg",I174*계산기!$C$6,IF(J174="AUC",I174*(계산기!$C$16+25),IF(J174="mg",I174,"")))))</f>
        <v>420</v>
      </c>
      <c r="S174" s="26" t="n">
        <f aca="false">IF(OR(R174="",L174=""),"",R174*L174)</f>
        <v>420</v>
      </c>
      <c r="T174" s="27" t="s">
        <v>92</v>
      </c>
      <c r="U174" s="28" t="s">
        <v>93</v>
      </c>
    </row>
    <row r="175" customFormat="false" ht="26.85" hidden="false" customHeight="false" outlineLevel="0" collapsed="false">
      <c r="A175" s="23" t="s">
        <v>512</v>
      </c>
      <c r="B175" s="23" t="n">
        <v>36</v>
      </c>
      <c r="C175" s="24" t="s">
        <v>506</v>
      </c>
      <c r="D175" s="25" t="s">
        <v>513</v>
      </c>
      <c r="E175" s="23" t="s">
        <v>99</v>
      </c>
      <c r="F175" s="23" t="s">
        <v>85</v>
      </c>
      <c r="G175" s="25" t="s">
        <v>474</v>
      </c>
      <c r="H175" s="23" t="s">
        <v>106</v>
      </c>
      <c r="I175" s="23" t="n">
        <v>400</v>
      </c>
      <c r="J175" s="23" t="s">
        <v>107</v>
      </c>
      <c r="K175" s="29" t="s">
        <v>135</v>
      </c>
      <c r="L175" s="23" t="n">
        <v>1</v>
      </c>
      <c r="M175" s="23" t="n">
        <v>1</v>
      </c>
      <c r="N175" s="23" t="s">
        <v>136</v>
      </c>
      <c r="O175" s="29" t="s">
        <v>137</v>
      </c>
      <c r="P175" s="23" t="s">
        <v>138</v>
      </c>
      <c r="Q175" s="25" t="s">
        <v>475</v>
      </c>
      <c r="R175" s="26" t="n">
        <f aca="false">IF(N(I175)=0,"",IF(OR(J175="mg/m²",J175="mg/m²/day"),I175*계산기!$C$14,IF(J175="mg/kg",I175*계산기!$C$6,IF(J175="AUC",I175*(계산기!$C$16+25),IF(J175="mg",I175,"")))))</f>
        <v>400</v>
      </c>
      <c r="S175" s="26" t="n">
        <f aca="false">IF(OR(R175="",L175=""),"",R175*L175)</f>
        <v>400</v>
      </c>
      <c r="T175" s="27" t="s">
        <v>92</v>
      </c>
      <c r="U175" s="28" t="s">
        <v>93</v>
      </c>
    </row>
    <row r="176" customFormat="false" ht="15" hidden="false" customHeight="false" outlineLevel="0" collapsed="false">
      <c r="A176" s="23"/>
      <c r="B176" s="23"/>
      <c r="C176" s="25"/>
      <c r="D176" s="25"/>
      <c r="E176" s="23"/>
      <c r="F176" s="23"/>
      <c r="G176" s="25" t="s">
        <v>514</v>
      </c>
      <c r="H176" s="23" t="s">
        <v>106</v>
      </c>
      <c r="I176" s="23" t="n">
        <v>1000</v>
      </c>
      <c r="J176" s="23" t="s">
        <v>107</v>
      </c>
      <c r="K176" s="29" t="s">
        <v>515</v>
      </c>
      <c r="L176" s="23" t="n">
        <v>1</v>
      </c>
      <c r="M176" s="23" t="n">
        <v>28</v>
      </c>
      <c r="N176" s="23" t="s">
        <v>172</v>
      </c>
      <c r="O176" s="23" t="n">
        <v>6</v>
      </c>
      <c r="P176" s="23" t="s">
        <v>91</v>
      </c>
      <c r="Q176" s="24" t="s">
        <v>108</v>
      </c>
      <c r="R176" s="26" t="n">
        <f aca="false">IF(N(I176)=0,"",IF(OR(J176="mg/m²",J176="mg/m²/day"),I176*계산기!$C$14,IF(J176="mg/kg",I176*계산기!$C$6,IF(J176="AUC",I176*(계산기!$C$16+25),IF(J176="mg",I176,"")))))</f>
        <v>1000</v>
      </c>
      <c r="S176" s="26" t="n">
        <f aca="false">IF(OR(R176="",L176=""),"",R176*L176)</f>
        <v>1000</v>
      </c>
      <c r="T176" s="27"/>
      <c r="U176" s="28"/>
    </row>
    <row r="177" customFormat="false" ht="26.85" hidden="false" customHeight="false" outlineLevel="0" collapsed="false">
      <c r="A177" s="23" t="s">
        <v>516</v>
      </c>
      <c r="B177" s="23" t="n">
        <v>37</v>
      </c>
      <c r="C177" s="24" t="s">
        <v>517</v>
      </c>
      <c r="D177" s="25" t="s">
        <v>472</v>
      </c>
      <c r="E177" s="23" t="s">
        <v>99</v>
      </c>
      <c r="F177" s="29" t="s">
        <v>518</v>
      </c>
      <c r="G177" s="25" t="s">
        <v>472</v>
      </c>
      <c r="H177" s="23" t="s">
        <v>106</v>
      </c>
      <c r="I177" s="23" t="n">
        <v>75</v>
      </c>
      <c r="J177" s="23" t="s">
        <v>88</v>
      </c>
      <c r="K177" s="23" t="s">
        <v>459</v>
      </c>
      <c r="L177" s="23" t="n">
        <v>7</v>
      </c>
      <c r="M177" s="23" t="n">
        <v>28</v>
      </c>
      <c r="N177" s="23" t="s">
        <v>172</v>
      </c>
      <c r="O177" s="23"/>
      <c r="P177" s="23" t="s">
        <v>473</v>
      </c>
      <c r="Q177" s="25"/>
      <c r="R177" s="26" t="n">
        <f aca="false">IF(N(I177)=0,"",IF(OR(J177="mg/m²",J177="mg/m²/day"),I177*계산기!$C$14,IF(J177="mg/kg",I177*계산기!$C$6,IF(J177="AUC",I177*(계산기!$C$16+25),IF(J177="mg",I177,"")))))</f>
        <v>126.429328084903</v>
      </c>
      <c r="S177" s="26" t="n">
        <f aca="false">IF(OR(R177="",L177=""),"",R177*L177)</f>
        <v>885.00529659432</v>
      </c>
      <c r="T177" s="27" t="s">
        <v>92</v>
      </c>
      <c r="U177" s="28" t="s">
        <v>93</v>
      </c>
    </row>
    <row r="178" customFormat="false" ht="26.85" hidden="false" customHeight="false" outlineLevel="0" collapsed="false">
      <c r="A178" s="23" t="s">
        <v>519</v>
      </c>
      <c r="B178" s="23" t="n">
        <v>37</v>
      </c>
      <c r="C178" s="24" t="s">
        <v>517</v>
      </c>
      <c r="D178" s="25" t="s">
        <v>445</v>
      </c>
      <c r="E178" s="23" t="s">
        <v>99</v>
      </c>
      <c r="F178" s="23" t="s">
        <v>520</v>
      </c>
      <c r="G178" s="25" t="s">
        <v>445</v>
      </c>
      <c r="H178" s="23" t="s">
        <v>106</v>
      </c>
      <c r="I178" s="23" t="n">
        <v>10</v>
      </c>
      <c r="J178" s="23" t="s">
        <v>107</v>
      </c>
      <c r="K178" s="29" t="s">
        <v>135</v>
      </c>
      <c r="L178" s="23" t="n">
        <v>1</v>
      </c>
      <c r="M178" s="23" t="n">
        <v>1</v>
      </c>
      <c r="N178" s="23" t="s">
        <v>136</v>
      </c>
      <c r="O178" s="29" t="s">
        <v>137</v>
      </c>
      <c r="P178" s="23" t="s">
        <v>138</v>
      </c>
      <c r="Q178" s="25"/>
      <c r="R178" s="26" t="n">
        <f aca="false">IF(N(I178)=0,"",IF(OR(J178="mg/m²",J178="mg/m²/day"),I178*계산기!$C$14,IF(J178="mg/kg",I178*계산기!$C$6,IF(J178="AUC",I178*(계산기!$C$16+25),IF(J178="mg",I178,"")))))</f>
        <v>10</v>
      </c>
      <c r="S178" s="26" t="n">
        <f aca="false">IF(OR(R178="",L178=""),"",R178*L178)</f>
        <v>10</v>
      </c>
      <c r="T178" s="27" t="s">
        <v>305</v>
      </c>
      <c r="U178" s="30" t="s">
        <v>306</v>
      </c>
    </row>
    <row r="179" customFormat="false" ht="15" hidden="false" customHeight="false" outlineLevel="0" collapsed="false">
      <c r="A179" s="23" t="s">
        <v>521</v>
      </c>
      <c r="B179" s="23" t="n">
        <v>5</v>
      </c>
      <c r="C179" s="24" t="s">
        <v>188</v>
      </c>
      <c r="D179" s="25" t="s">
        <v>522</v>
      </c>
      <c r="E179" s="23" t="s">
        <v>99</v>
      </c>
      <c r="F179" s="23" t="s">
        <v>85</v>
      </c>
      <c r="G179" s="25" t="s">
        <v>246</v>
      </c>
      <c r="H179" s="23" t="s">
        <v>87</v>
      </c>
      <c r="I179" s="23" t="n">
        <v>60</v>
      </c>
      <c r="J179" s="23" t="s">
        <v>88</v>
      </c>
      <c r="K179" s="23" t="s">
        <v>95</v>
      </c>
      <c r="L179" s="23" t="n">
        <v>1</v>
      </c>
      <c r="M179" s="23" t="n">
        <v>21</v>
      </c>
      <c r="N179" s="23" t="s">
        <v>90</v>
      </c>
      <c r="O179" s="23"/>
      <c r="P179" s="23" t="s">
        <v>91</v>
      </c>
      <c r="Q179" s="24" t="s">
        <v>523</v>
      </c>
      <c r="R179" s="26" t="n">
        <f aca="false">IF(N(I179)=0,"",IF(OR(J179="mg/m²",J179="mg/m²/day"),I179*계산기!$C$14,IF(J179="mg/kg",I179*계산기!$C$6,IF(J179="AUC",I179*(계산기!$C$16+25),IF(J179="mg",I179,"")))))</f>
        <v>101.143462467922</v>
      </c>
      <c r="S179" s="26" t="n">
        <f aca="false">IF(OR(R179="",L179=""),"",R179*L179)</f>
        <v>101.143462467922</v>
      </c>
      <c r="T179" s="27" t="s">
        <v>92</v>
      </c>
      <c r="U179" s="28" t="s">
        <v>93</v>
      </c>
    </row>
    <row r="180" customFormat="false" ht="35.05" hidden="false" customHeight="false" outlineLevel="0" collapsed="false">
      <c r="A180" s="23" t="s">
        <v>524</v>
      </c>
      <c r="B180" s="23" t="n">
        <v>5</v>
      </c>
      <c r="C180" s="24" t="s">
        <v>188</v>
      </c>
      <c r="D180" s="25" t="s">
        <v>405</v>
      </c>
      <c r="E180" s="23" t="s">
        <v>99</v>
      </c>
      <c r="F180" s="23" t="s">
        <v>525</v>
      </c>
      <c r="G180" s="25" t="s">
        <v>407</v>
      </c>
      <c r="H180" s="23" t="s">
        <v>106</v>
      </c>
      <c r="I180" s="23" t="n">
        <v>150</v>
      </c>
      <c r="J180" s="23" t="s">
        <v>107</v>
      </c>
      <c r="K180" s="23" t="s">
        <v>145</v>
      </c>
      <c r="L180" s="23" t="n">
        <v>2</v>
      </c>
      <c r="M180" s="23" t="n">
        <v>1</v>
      </c>
      <c r="N180" s="23" t="s">
        <v>136</v>
      </c>
      <c r="O180" s="29" t="s">
        <v>137</v>
      </c>
      <c r="P180" s="23" t="s">
        <v>138</v>
      </c>
      <c r="Q180" s="25"/>
      <c r="R180" s="26" t="n">
        <f aca="false">IF(N(I180)=0,"",IF(OR(J180="mg/m²",J180="mg/m²/day"),I180*계산기!$C$14,IF(J180="mg/kg",I180*계산기!$C$6,IF(J180="AUC",I180*(계산기!$C$16+25),IF(J180="mg",I180,"")))))</f>
        <v>150</v>
      </c>
      <c r="S180" s="26" t="n">
        <f aca="false">IF(OR(R180="",L180=""),"",R180*L180)</f>
        <v>300</v>
      </c>
      <c r="T180" s="27" t="s">
        <v>92</v>
      </c>
      <c r="U180" s="28" t="s">
        <v>93</v>
      </c>
    </row>
    <row r="181" customFormat="false" ht="15" hidden="false" customHeight="false" outlineLevel="0" collapsed="false">
      <c r="A181" s="23"/>
      <c r="B181" s="23"/>
      <c r="C181" s="25"/>
      <c r="D181" s="25"/>
      <c r="E181" s="23"/>
      <c r="F181" s="23"/>
      <c r="G181" s="25" t="s">
        <v>408</v>
      </c>
      <c r="H181" s="23" t="s">
        <v>106</v>
      </c>
      <c r="I181" s="23" t="n">
        <v>2</v>
      </c>
      <c r="J181" s="23" t="s">
        <v>107</v>
      </c>
      <c r="K181" s="29" t="s">
        <v>135</v>
      </c>
      <c r="L181" s="23" t="n">
        <v>1</v>
      </c>
      <c r="M181" s="23" t="n">
        <v>1</v>
      </c>
      <c r="N181" s="23" t="s">
        <v>136</v>
      </c>
      <c r="O181" s="29" t="s">
        <v>137</v>
      </c>
      <c r="P181" s="23" t="s">
        <v>138</v>
      </c>
      <c r="Q181" s="25"/>
      <c r="R181" s="26" t="n">
        <f aca="false">IF(N(I181)=0,"",IF(OR(J181="mg/m²",J181="mg/m²/day"),I181*계산기!$C$14,IF(J181="mg/kg",I181*계산기!$C$6,IF(J181="AUC",I181*(계산기!$C$16+25),IF(J181="mg",I181,"")))))</f>
        <v>2</v>
      </c>
      <c r="S181" s="26" t="n">
        <f aca="false">IF(OR(R181="",L181=""),"",R181*L181)</f>
        <v>2</v>
      </c>
      <c r="T181" s="27"/>
      <c r="U181" s="28"/>
    </row>
    <row r="182" customFormat="false" ht="26.85" hidden="false" customHeight="false" outlineLevel="0" collapsed="false">
      <c r="A182" s="23" t="s">
        <v>526</v>
      </c>
      <c r="B182" s="23" t="n">
        <v>5</v>
      </c>
      <c r="C182" s="24" t="s">
        <v>188</v>
      </c>
      <c r="D182" s="25" t="s">
        <v>527</v>
      </c>
      <c r="E182" s="23" t="s">
        <v>99</v>
      </c>
      <c r="F182" s="29" t="s">
        <v>528</v>
      </c>
      <c r="G182" s="25" t="s">
        <v>529</v>
      </c>
      <c r="H182" s="23" t="s">
        <v>106</v>
      </c>
      <c r="I182" s="23" t="n">
        <v>300</v>
      </c>
      <c r="J182" s="23" t="s">
        <v>107</v>
      </c>
      <c r="K182" s="29" t="s">
        <v>135</v>
      </c>
      <c r="L182" s="23" t="n">
        <v>1</v>
      </c>
      <c r="M182" s="23" t="n">
        <v>1</v>
      </c>
      <c r="N182" s="23" t="s">
        <v>136</v>
      </c>
      <c r="O182" s="29" t="s">
        <v>137</v>
      </c>
      <c r="P182" s="23" t="s">
        <v>138</v>
      </c>
      <c r="Q182" s="25"/>
      <c r="R182" s="26" t="n">
        <f aca="false">IF(N(I182)=0,"",IF(OR(J182="mg/m²",J182="mg/m²/day"),I182*계산기!$C$14,IF(J182="mg/kg",I182*계산기!$C$6,IF(J182="AUC",I182*(계산기!$C$16+25),IF(J182="mg",I182,"")))))</f>
        <v>300</v>
      </c>
      <c r="S182" s="26" t="n">
        <f aca="false">IF(OR(R182="",L182=""),"",R182*L182)</f>
        <v>300</v>
      </c>
      <c r="T182" s="27" t="s">
        <v>92</v>
      </c>
      <c r="U182" s="28" t="s">
        <v>93</v>
      </c>
    </row>
    <row r="183" customFormat="false" ht="15" hidden="false" customHeight="false" outlineLevel="0" collapsed="false">
      <c r="A183" s="23" t="s">
        <v>530</v>
      </c>
      <c r="B183" s="23" t="n">
        <v>8</v>
      </c>
      <c r="C183" s="24" t="s">
        <v>226</v>
      </c>
      <c r="D183" s="25" t="s">
        <v>531</v>
      </c>
      <c r="E183" s="23" t="s">
        <v>117</v>
      </c>
      <c r="F183" s="23" t="s">
        <v>85</v>
      </c>
      <c r="G183" s="25" t="s">
        <v>150</v>
      </c>
      <c r="H183" s="23" t="s">
        <v>87</v>
      </c>
      <c r="I183" s="23" t="n">
        <v>130</v>
      </c>
      <c r="J183" s="23" t="s">
        <v>88</v>
      </c>
      <c r="K183" s="23" t="s">
        <v>95</v>
      </c>
      <c r="L183" s="23" t="n">
        <v>1</v>
      </c>
      <c r="M183" s="23" t="n">
        <v>21</v>
      </c>
      <c r="N183" s="23" t="s">
        <v>90</v>
      </c>
      <c r="O183" s="23"/>
      <c r="P183" s="23" t="s">
        <v>91</v>
      </c>
      <c r="Q183" s="25"/>
      <c r="R183" s="26" t="n">
        <f aca="false">IF(N(I183)=0,"",IF(OR(J183="mg/m²",J183="mg/m²/day"),I183*계산기!$C$14,IF(J183="mg/kg",I183*계산기!$C$6,IF(J183="AUC",I183*(계산기!$C$16+25),IF(J183="mg",I183,"")))))</f>
        <v>219.144168680498</v>
      </c>
      <c r="S183" s="26" t="n">
        <f aca="false">IF(OR(R183="",L183=""),"",R183*L183)</f>
        <v>219.144168680498</v>
      </c>
      <c r="T183" s="27" t="s">
        <v>92</v>
      </c>
      <c r="U183" s="28" t="s">
        <v>93</v>
      </c>
    </row>
    <row r="184" customFormat="false" ht="15" hidden="false" customHeight="false" outlineLevel="0" collapsed="false">
      <c r="A184" s="23"/>
      <c r="B184" s="23"/>
      <c r="C184" s="25"/>
      <c r="D184" s="25"/>
      <c r="E184" s="23"/>
      <c r="F184" s="23"/>
      <c r="G184" s="25" t="s">
        <v>159</v>
      </c>
      <c r="H184" s="23" t="s">
        <v>87</v>
      </c>
      <c r="I184" s="23" t="n">
        <v>1000</v>
      </c>
      <c r="J184" s="23" t="s">
        <v>88</v>
      </c>
      <c r="K184" s="23" t="s">
        <v>160</v>
      </c>
      <c r="L184" s="23" t="n">
        <v>2</v>
      </c>
      <c r="M184" s="23" t="n">
        <v>21</v>
      </c>
      <c r="N184" s="23" t="s">
        <v>90</v>
      </c>
      <c r="O184" s="23"/>
      <c r="P184" s="23" t="s">
        <v>138</v>
      </c>
      <c r="Q184" s="25"/>
      <c r="R184" s="26" t="n">
        <f aca="false">IF(N(I184)=0,"",IF(OR(J184="mg/m²",J184="mg/m²/day"),I184*계산기!$C$14,IF(J184="mg/kg",I184*계산기!$C$6,IF(J184="AUC",I184*(계산기!$C$16+25),IF(J184="mg",I184,"")))))</f>
        <v>1685.72437446537</v>
      </c>
      <c r="S184" s="26" t="n">
        <f aca="false">IF(OR(R184="",L184=""),"",R184*L184)</f>
        <v>3371.44874893074</v>
      </c>
      <c r="T184" s="27"/>
      <c r="U184" s="28"/>
    </row>
    <row r="185" customFormat="false" ht="15" hidden="false" customHeight="false" outlineLevel="0" collapsed="false">
      <c r="A185" s="23" t="s">
        <v>532</v>
      </c>
      <c r="B185" s="23" t="n">
        <v>8</v>
      </c>
      <c r="C185" s="24" t="s">
        <v>226</v>
      </c>
      <c r="D185" s="25" t="s">
        <v>533</v>
      </c>
      <c r="E185" s="23" t="s">
        <v>99</v>
      </c>
      <c r="F185" s="23" t="s">
        <v>85</v>
      </c>
      <c r="G185" s="25" t="s">
        <v>534</v>
      </c>
      <c r="H185" s="23" t="s">
        <v>106</v>
      </c>
      <c r="I185" s="23" t="n">
        <v>6</v>
      </c>
      <c r="J185" s="23" t="s">
        <v>165</v>
      </c>
      <c r="K185" s="23" t="s">
        <v>95</v>
      </c>
      <c r="L185" s="23" t="n">
        <v>1</v>
      </c>
      <c r="M185" s="23" t="n">
        <v>14</v>
      </c>
      <c r="N185" s="23" t="s">
        <v>151</v>
      </c>
      <c r="O185" s="23"/>
      <c r="P185" s="23" t="s">
        <v>91</v>
      </c>
      <c r="Q185" s="25" t="s">
        <v>535</v>
      </c>
      <c r="R185" s="26" t="n">
        <f aca="false">IF(N(I185)=0,"",IF(OR(J185="mg/m²",J185="mg/m²/day"),I185*계산기!$C$14,IF(J185="mg/kg",I185*계산기!$C$6,IF(J185="AUC",I185*(계산기!$C$16+25),IF(J185="mg",I185,"")))))</f>
        <v>372</v>
      </c>
      <c r="S185" s="26" t="n">
        <f aca="false">IF(OR(R185="",L185=""),"",R185*L185)</f>
        <v>372</v>
      </c>
      <c r="T185" s="27" t="s">
        <v>92</v>
      </c>
      <c r="U185" s="28" t="s">
        <v>93</v>
      </c>
    </row>
    <row r="186" customFormat="false" ht="15" hidden="false" customHeight="false" outlineLevel="0" collapsed="false">
      <c r="A186" s="23"/>
      <c r="B186" s="23"/>
      <c r="C186" s="25"/>
      <c r="D186" s="25"/>
      <c r="E186" s="23"/>
      <c r="F186" s="23"/>
      <c r="G186" s="25" t="s">
        <v>150</v>
      </c>
      <c r="H186" s="23" t="s">
        <v>87</v>
      </c>
      <c r="I186" s="23" t="n">
        <v>85</v>
      </c>
      <c r="J186" s="23" t="s">
        <v>88</v>
      </c>
      <c r="K186" s="23" t="s">
        <v>95</v>
      </c>
      <c r="L186" s="23" t="n">
        <v>1</v>
      </c>
      <c r="M186" s="23" t="n">
        <v>14</v>
      </c>
      <c r="N186" s="23" t="s">
        <v>151</v>
      </c>
      <c r="O186" s="23"/>
      <c r="P186" s="23" t="s">
        <v>91</v>
      </c>
      <c r="Q186" s="25"/>
      <c r="R186" s="26" t="n">
        <f aca="false">IF(N(I186)=0,"",IF(OR(J186="mg/m²",J186="mg/m²/day"),I186*계산기!$C$14,IF(J186="mg/kg",I186*계산기!$C$6,IF(J186="AUC",I186*(계산기!$C$16+25),IF(J186="mg",I186,"")))))</f>
        <v>143.286571829557</v>
      </c>
      <c r="S186" s="26" t="n">
        <f aca="false">IF(OR(R186="",L186=""),"",R186*L186)</f>
        <v>143.286571829557</v>
      </c>
      <c r="T186" s="27"/>
      <c r="U186" s="28"/>
    </row>
    <row r="187" customFormat="false" ht="15" hidden="false" customHeight="false" outlineLevel="0" collapsed="false">
      <c r="A187" s="23"/>
      <c r="B187" s="23"/>
      <c r="C187" s="25"/>
      <c r="D187" s="25"/>
      <c r="E187" s="23"/>
      <c r="F187" s="23"/>
      <c r="G187" s="25" t="s">
        <v>152</v>
      </c>
      <c r="H187" s="23" t="s">
        <v>87</v>
      </c>
      <c r="I187" s="23" t="n">
        <v>400</v>
      </c>
      <c r="J187" s="23" t="s">
        <v>88</v>
      </c>
      <c r="K187" s="23" t="s">
        <v>95</v>
      </c>
      <c r="L187" s="23" t="n">
        <v>1</v>
      </c>
      <c r="M187" s="23" t="n">
        <v>14</v>
      </c>
      <c r="N187" s="23" t="s">
        <v>151</v>
      </c>
      <c r="O187" s="23"/>
      <c r="P187" s="23" t="s">
        <v>91</v>
      </c>
      <c r="Q187" s="25"/>
      <c r="R187" s="26" t="n">
        <f aca="false">IF(N(I187)=0,"",IF(OR(J187="mg/m²",J187="mg/m²/day"),I187*계산기!$C$14,IF(J187="mg/kg",I187*계산기!$C$6,IF(J187="AUC",I187*(계산기!$C$16+25),IF(J187="mg",I187,"")))))</f>
        <v>674.289749786149</v>
      </c>
      <c r="S187" s="26" t="n">
        <f aca="false">IF(OR(R187="",L187=""),"",R187*L187)</f>
        <v>674.289749786149</v>
      </c>
      <c r="T187" s="27"/>
      <c r="U187" s="28"/>
    </row>
    <row r="188" customFormat="false" ht="15" hidden="false" customHeight="false" outlineLevel="0" collapsed="false">
      <c r="A188" s="23"/>
      <c r="B188" s="23"/>
      <c r="C188" s="25"/>
      <c r="D188" s="25"/>
      <c r="E188" s="23"/>
      <c r="F188" s="23"/>
      <c r="G188" s="25" t="s">
        <v>154</v>
      </c>
      <c r="H188" s="23" t="s">
        <v>87</v>
      </c>
      <c r="I188" s="23" t="n">
        <v>2400</v>
      </c>
      <c r="J188" s="23" t="s">
        <v>88</v>
      </c>
      <c r="K188" s="23" t="s">
        <v>155</v>
      </c>
      <c r="L188" s="23" t="n">
        <v>1</v>
      </c>
      <c r="M188" s="23" t="n">
        <v>14</v>
      </c>
      <c r="N188" s="23" t="s">
        <v>151</v>
      </c>
      <c r="O188" s="23"/>
      <c r="P188" s="23" t="s">
        <v>91</v>
      </c>
      <c r="Q188" s="25"/>
      <c r="R188" s="26" t="n">
        <f aca="false">IF(N(I188)=0,"",IF(OR(J188="mg/m²",J188="mg/m²/day"),I188*계산기!$C$14,IF(J188="mg/kg",I188*계산기!$C$6,IF(J188="AUC",I188*(계산기!$C$16+25),IF(J188="mg",I188,"")))))</f>
        <v>4045.73849871689</v>
      </c>
      <c r="S188" s="26" t="n">
        <f aca="false">IF(OR(R188="",L188=""),"",R188*L188)</f>
        <v>4045.73849871689</v>
      </c>
      <c r="T188" s="27"/>
      <c r="U188" s="28"/>
    </row>
    <row r="189" customFormat="false" ht="26.85" hidden="false" customHeight="false" outlineLevel="0" collapsed="false">
      <c r="A189" s="23" t="s">
        <v>536</v>
      </c>
      <c r="B189" s="23" t="n">
        <v>8</v>
      </c>
      <c r="C189" s="24" t="s">
        <v>226</v>
      </c>
      <c r="D189" s="25" t="s">
        <v>212</v>
      </c>
      <c r="E189" s="23" t="s">
        <v>111</v>
      </c>
      <c r="F189" s="23" t="s">
        <v>237</v>
      </c>
      <c r="G189" s="25" t="s">
        <v>212</v>
      </c>
      <c r="H189" s="23" t="s">
        <v>106</v>
      </c>
      <c r="I189" s="23" t="n">
        <v>160</v>
      </c>
      <c r="J189" s="23" t="s">
        <v>107</v>
      </c>
      <c r="K189" s="23" t="s">
        <v>213</v>
      </c>
      <c r="L189" s="23" t="n">
        <v>1</v>
      </c>
      <c r="M189" s="23" t="n">
        <v>28</v>
      </c>
      <c r="N189" s="23" t="s">
        <v>214</v>
      </c>
      <c r="O189" s="23"/>
      <c r="P189" s="23" t="s">
        <v>138</v>
      </c>
      <c r="Q189" s="25"/>
      <c r="R189" s="26" t="n">
        <f aca="false">IF(N(I189)=0,"",IF(OR(J189="mg/m²",J189="mg/m²/day"),I189*계산기!$C$14,IF(J189="mg/kg",I189*계산기!$C$6,IF(J189="AUC",I189*(계산기!$C$16+25),IF(J189="mg",I189,"")))))</f>
        <v>160</v>
      </c>
      <c r="S189" s="26" t="n">
        <f aca="false">IF(OR(R189="",L189=""),"",R189*L189)</f>
        <v>160</v>
      </c>
      <c r="T189" s="27" t="s">
        <v>92</v>
      </c>
      <c r="U189" s="28" t="s">
        <v>93</v>
      </c>
    </row>
    <row r="190" customFormat="false" ht="22.35" hidden="false" customHeight="false" outlineLevel="0" collapsed="false">
      <c r="A190" s="23" t="s">
        <v>537</v>
      </c>
      <c r="B190" s="23" t="n">
        <v>8</v>
      </c>
      <c r="C190" s="24" t="s">
        <v>226</v>
      </c>
      <c r="D190" s="25" t="s">
        <v>538</v>
      </c>
      <c r="E190" s="23" t="s">
        <v>99</v>
      </c>
      <c r="F190" s="23" t="s">
        <v>85</v>
      </c>
      <c r="G190" s="25" t="s">
        <v>131</v>
      </c>
      <c r="H190" s="23" t="s">
        <v>106</v>
      </c>
      <c r="I190" s="23" t="n">
        <v>200</v>
      </c>
      <c r="J190" s="23" t="s">
        <v>107</v>
      </c>
      <c r="K190" s="23" t="s">
        <v>95</v>
      </c>
      <c r="L190" s="23" t="n">
        <v>1</v>
      </c>
      <c r="M190" s="23" t="n">
        <v>21</v>
      </c>
      <c r="N190" s="23" t="s">
        <v>90</v>
      </c>
      <c r="O190" s="23"/>
      <c r="P190" s="23" t="s">
        <v>91</v>
      </c>
      <c r="Q190" s="25" t="s">
        <v>539</v>
      </c>
      <c r="R190" s="26" t="n">
        <f aca="false">IF(N(I190)=0,"",IF(OR(J190="mg/m²",J190="mg/m²/day"),I190*계산기!$C$14,IF(J190="mg/kg",I190*계산기!$C$6,IF(J190="AUC",I190*(계산기!$C$16+25),IF(J190="mg",I190,"")))))</f>
        <v>200</v>
      </c>
      <c r="S190" s="26" t="n">
        <f aca="false">IF(OR(R190="",L190=""),"",R190*L190)</f>
        <v>200</v>
      </c>
      <c r="T190" s="27" t="s">
        <v>92</v>
      </c>
      <c r="U190" s="28" t="s">
        <v>93</v>
      </c>
    </row>
    <row r="191" customFormat="false" ht="15" hidden="false" customHeight="false" outlineLevel="0" collapsed="false">
      <c r="A191" s="23" t="s">
        <v>540</v>
      </c>
      <c r="B191" s="23" t="n">
        <v>8</v>
      </c>
      <c r="C191" s="24" t="s">
        <v>226</v>
      </c>
      <c r="D191" s="25" t="s">
        <v>541</v>
      </c>
      <c r="E191" s="23" t="s">
        <v>253</v>
      </c>
      <c r="F191" s="29" t="s">
        <v>254</v>
      </c>
      <c r="G191" s="25" t="s">
        <v>159</v>
      </c>
      <c r="H191" s="23" t="s">
        <v>87</v>
      </c>
      <c r="I191" s="23" t="n">
        <v>1250</v>
      </c>
      <c r="J191" s="23" t="s">
        <v>88</v>
      </c>
      <c r="K191" s="23" t="s">
        <v>160</v>
      </c>
      <c r="L191" s="23" t="n">
        <v>2</v>
      </c>
      <c r="M191" s="23" t="n">
        <v>21</v>
      </c>
      <c r="N191" s="23" t="s">
        <v>90</v>
      </c>
      <c r="O191" s="23" t="n">
        <v>8</v>
      </c>
      <c r="P191" s="23" t="s">
        <v>138</v>
      </c>
      <c r="Q191" s="25"/>
      <c r="R191" s="26" t="n">
        <f aca="false">IF(N(I191)=0,"",IF(OR(J191="mg/m²",J191="mg/m²/day"),I191*계산기!$C$14,IF(J191="mg/kg",I191*계산기!$C$6,IF(J191="AUC",I191*(계산기!$C$16+25),IF(J191="mg",I191,"")))))</f>
        <v>2107.15546808171</v>
      </c>
      <c r="S191" s="26" t="n">
        <f aca="false">IF(OR(R191="",L191=""),"",R191*L191)</f>
        <v>4214.31093616343</v>
      </c>
      <c r="T191" s="27" t="s">
        <v>92</v>
      </c>
      <c r="U191" s="28" t="s">
        <v>93</v>
      </c>
    </row>
    <row r="192" customFormat="false" ht="22.35" hidden="false" customHeight="false" outlineLevel="0" collapsed="false">
      <c r="A192" s="23" t="s">
        <v>542</v>
      </c>
      <c r="B192" s="23" t="n">
        <v>2</v>
      </c>
      <c r="C192" s="24" t="s">
        <v>115</v>
      </c>
      <c r="D192" s="25" t="s">
        <v>543</v>
      </c>
      <c r="E192" s="23" t="s">
        <v>99</v>
      </c>
      <c r="F192" s="23" t="s">
        <v>544</v>
      </c>
      <c r="G192" s="25" t="s">
        <v>131</v>
      </c>
      <c r="H192" s="23" t="s">
        <v>106</v>
      </c>
      <c r="I192" s="23" t="n">
        <v>200</v>
      </c>
      <c r="J192" s="23" t="s">
        <v>107</v>
      </c>
      <c r="K192" s="23" t="s">
        <v>95</v>
      </c>
      <c r="L192" s="23" t="n">
        <v>1</v>
      </c>
      <c r="M192" s="23" t="n">
        <v>21</v>
      </c>
      <c r="N192" s="23" t="s">
        <v>90</v>
      </c>
      <c r="O192" s="23"/>
      <c r="P192" s="23" t="s">
        <v>91</v>
      </c>
      <c r="Q192" s="25" t="s">
        <v>545</v>
      </c>
      <c r="R192" s="26" t="n">
        <f aca="false">IF(N(I192)=0,"",IF(OR(J192="mg/m²",J192="mg/m²/day"),I192*계산기!$C$14,IF(J192="mg/kg",I192*계산기!$C$6,IF(J192="AUC",I192*(계산기!$C$16+25),IF(J192="mg",I192,"")))))</f>
        <v>200</v>
      </c>
      <c r="S192" s="26" t="n">
        <f aca="false">IF(OR(R192="",L192=""),"",R192*L192)</f>
        <v>200</v>
      </c>
      <c r="T192" s="27" t="s">
        <v>92</v>
      </c>
      <c r="U192" s="28" t="s">
        <v>93</v>
      </c>
    </row>
    <row r="193" customFormat="false" ht="15" hidden="false" customHeight="false" outlineLevel="0" collapsed="false">
      <c r="A193" s="23"/>
      <c r="B193" s="23"/>
      <c r="C193" s="25"/>
      <c r="D193" s="25"/>
      <c r="E193" s="23"/>
      <c r="F193" s="23"/>
      <c r="G193" s="25" t="s">
        <v>118</v>
      </c>
      <c r="H193" s="23" t="s">
        <v>87</v>
      </c>
      <c r="I193" s="23" t="n">
        <v>500</v>
      </c>
      <c r="J193" s="23" t="s">
        <v>88</v>
      </c>
      <c r="K193" s="23" t="s">
        <v>95</v>
      </c>
      <c r="L193" s="23" t="n">
        <v>1</v>
      </c>
      <c r="M193" s="23" t="n">
        <v>21</v>
      </c>
      <c r="N193" s="23" t="s">
        <v>90</v>
      </c>
      <c r="O193" s="23"/>
      <c r="P193" s="23" t="s">
        <v>91</v>
      </c>
      <c r="Q193" s="25"/>
      <c r="R193" s="26" t="n">
        <f aca="false">IF(N(I193)=0,"",IF(OR(J193="mg/m²",J193="mg/m²/day"),I193*계산기!$C$14,IF(J193="mg/kg",I193*계산기!$C$6,IF(J193="AUC",I193*(계산기!$C$16+25),IF(J193="mg",I193,"")))))</f>
        <v>842.862187232686</v>
      </c>
      <c r="S193" s="26" t="n">
        <f aca="false">IF(OR(R193="",L193=""),"",R193*L193)</f>
        <v>842.862187232686</v>
      </c>
      <c r="T193" s="27"/>
      <c r="U193" s="28"/>
    </row>
    <row r="194" customFormat="false" ht="15" hidden="false" customHeight="false" outlineLevel="0" collapsed="false">
      <c r="A194" s="23"/>
      <c r="B194" s="23"/>
      <c r="C194" s="25"/>
      <c r="D194" s="25"/>
      <c r="E194" s="23"/>
      <c r="F194" s="23"/>
      <c r="G194" s="25" t="s">
        <v>100</v>
      </c>
      <c r="H194" s="23" t="s">
        <v>87</v>
      </c>
      <c r="I194" s="23" t="n">
        <v>5</v>
      </c>
      <c r="J194" s="23" t="s">
        <v>101</v>
      </c>
      <c r="K194" s="23" t="s">
        <v>95</v>
      </c>
      <c r="L194" s="23" t="n">
        <v>1</v>
      </c>
      <c r="M194" s="23" t="n">
        <v>21</v>
      </c>
      <c r="N194" s="23" t="s">
        <v>90</v>
      </c>
      <c r="O194" s="23" t="n">
        <v>4</v>
      </c>
      <c r="P194" s="23" t="s">
        <v>91</v>
      </c>
      <c r="Q194" s="25"/>
      <c r="R194" s="26" t="n">
        <f aca="false">IF(N(I194)=0,"",IF(OR(J194="mg/m²",J194="mg/m²/day"),I194*계산기!$C$14,IF(J194="mg/kg",I194*계산기!$C$6,IF(J194="AUC",I194*(계산기!$C$16+25),IF(J194="mg",I194,"")))))</f>
        <v>507.716049382716</v>
      </c>
      <c r="S194" s="26" t="n">
        <f aca="false">IF(OR(R194="",L194=""),"",R194*L194)</f>
        <v>507.716049382716</v>
      </c>
      <c r="T194" s="27"/>
      <c r="U194" s="28"/>
    </row>
    <row r="195" customFormat="false" ht="22.35" hidden="false" customHeight="false" outlineLevel="0" collapsed="false">
      <c r="A195" s="23" t="s">
        <v>542</v>
      </c>
      <c r="B195" s="23" t="n">
        <v>2</v>
      </c>
      <c r="C195" s="24" t="s">
        <v>115</v>
      </c>
      <c r="D195" s="25" t="s">
        <v>546</v>
      </c>
      <c r="E195" s="23" t="s">
        <v>99</v>
      </c>
      <c r="F195" s="23" t="s">
        <v>547</v>
      </c>
      <c r="G195" s="25" t="s">
        <v>131</v>
      </c>
      <c r="H195" s="23" t="s">
        <v>106</v>
      </c>
      <c r="I195" s="23" t="n">
        <v>200</v>
      </c>
      <c r="J195" s="23" t="s">
        <v>107</v>
      </c>
      <c r="K195" s="23" t="s">
        <v>95</v>
      </c>
      <c r="L195" s="23" t="n">
        <v>1</v>
      </c>
      <c r="M195" s="23" t="n">
        <v>21</v>
      </c>
      <c r="N195" s="23" t="s">
        <v>90</v>
      </c>
      <c r="O195" s="23"/>
      <c r="P195" s="23" t="s">
        <v>91</v>
      </c>
      <c r="Q195" s="25" t="s">
        <v>548</v>
      </c>
      <c r="R195" s="26" t="n">
        <f aca="false">IF(N(I195)=0,"",IF(OR(J195="mg/m²",J195="mg/m²/day"),I195*계산기!$C$14,IF(J195="mg/kg",I195*계산기!$C$6,IF(J195="AUC",I195*(계산기!$C$16+25),IF(J195="mg",I195,"")))))</f>
        <v>200</v>
      </c>
      <c r="S195" s="26" t="n">
        <f aca="false">IF(OR(R195="",L195=""),"",R195*L195)</f>
        <v>200</v>
      </c>
      <c r="T195" s="27" t="s">
        <v>92</v>
      </c>
      <c r="U195" s="28" t="s">
        <v>93</v>
      </c>
    </row>
    <row r="196" customFormat="false" ht="15" hidden="false" customHeight="false" outlineLevel="0" collapsed="false">
      <c r="A196" s="23"/>
      <c r="B196" s="23"/>
      <c r="C196" s="25"/>
      <c r="D196" s="25"/>
      <c r="E196" s="23"/>
      <c r="F196" s="23"/>
      <c r="G196" s="25" t="s">
        <v>122</v>
      </c>
      <c r="H196" s="23" t="s">
        <v>87</v>
      </c>
      <c r="I196" s="23" t="n">
        <v>200</v>
      </c>
      <c r="J196" s="23" t="s">
        <v>88</v>
      </c>
      <c r="K196" s="23" t="s">
        <v>95</v>
      </c>
      <c r="L196" s="23" t="n">
        <v>1</v>
      </c>
      <c r="M196" s="23" t="n">
        <v>21</v>
      </c>
      <c r="N196" s="23" t="s">
        <v>90</v>
      </c>
      <c r="O196" s="23" t="n">
        <v>4</v>
      </c>
      <c r="P196" s="23" t="s">
        <v>91</v>
      </c>
      <c r="Q196" s="25"/>
      <c r="R196" s="26" t="n">
        <f aca="false">IF(N(I196)=0,"",IF(OR(J196="mg/m²",J196="mg/m²/day"),I196*계산기!$C$14,IF(J196="mg/kg",I196*계산기!$C$6,IF(J196="AUC",I196*(계산기!$C$16+25),IF(J196="mg",I196,"")))))</f>
        <v>337.144874893074</v>
      </c>
      <c r="S196" s="26" t="n">
        <f aca="false">IF(OR(R196="",L196=""),"",R196*L196)</f>
        <v>337.144874893074</v>
      </c>
      <c r="T196" s="27"/>
      <c r="U196" s="28"/>
    </row>
    <row r="197" customFormat="false" ht="15" hidden="false" customHeight="false" outlineLevel="0" collapsed="false">
      <c r="A197" s="23"/>
      <c r="B197" s="23"/>
      <c r="C197" s="25"/>
      <c r="D197" s="25"/>
      <c r="E197" s="23"/>
      <c r="F197" s="23"/>
      <c r="G197" s="25" t="s">
        <v>100</v>
      </c>
      <c r="H197" s="23" t="s">
        <v>87</v>
      </c>
      <c r="I197" s="23" t="n">
        <v>6</v>
      </c>
      <c r="J197" s="23" t="s">
        <v>101</v>
      </c>
      <c r="K197" s="23" t="s">
        <v>95</v>
      </c>
      <c r="L197" s="23" t="n">
        <v>1</v>
      </c>
      <c r="M197" s="23" t="n">
        <v>21</v>
      </c>
      <c r="N197" s="23" t="s">
        <v>90</v>
      </c>
      <c r="O197" s="23" t="n">
        <v>4</v>
      </c>
      <c r="P197" s="23" t="s">
        <v>91</v>
      </c>
      <c r="Q197" s="25"/>
      <c r="R197" s="26" t="n">
        <f aca="false">IF(N(I197)=0,"",IF(OR(J197="mg/m²",J197="mg/m²/day"),I197*계산기!$C$14,IF(J197="mg/kg",I197*계산기!$C$6,IF(J197="AUC",I197*(계산기!$C$16+25),IF(J197="mg",I197,"")))))</f>
        <v>609.259259259259</v>
      </c>
      <c r="S197" s="26" t="n">
        <f aca="false">IF(OR(R197="",L197=""),"",R197*L197)</f>
        <v>609.259259259259</v>
      </c>
      <c r="T197" s="27"/>
      <c r="U197" s="28"/>
    </row>
    <row r="198" customFormat="false" ht="24.6" hidden="false" customHeight="false" outlineLevel="0" collapsed="false">
      <c r="A198" s="23" t="s">
        <v>549</v>
      </c>
      <c r="B198" s="23" t="n">
        <v>2</v>
      </c>
      <c r="C198" s="24" t="s">
        <v>115</v>
      </c>
      <c r="D198" s="25" t="s">
        <v>550</v>
      </c>
      <c r="E198" s="29" t="s">
        <v>283</v>
      </c>
      <c r="F198" s="23" t="s">
        <v>551</v>
      </c>
      <c r="G198" s="25" t="s">
        <v>219</v>
      </c>
      <c r="H198" s="23" t="s">
        <v>106</v>
      </c>
      <c r="I198" s="23" t="n">
        <v>10</v>
      </c>
      <c r="J198" s="23" t="s">
        <v>165</v>
      </c>
      <c r="K198" s="23" t="s">
        <v>171</v>
      </c>
      <c r="L198" s="23" t="n">
        <v>2</v>
      </c>
      <c r="M198" s="23" t="n">
        <v>28</v>
      </c>
      <c r="N198" s="23" t="s">
        <v>151</v>
      </c>
      <c r="O198" s="23"/>
      <c r="P198" s="23" t="s">
        <v>91</v>
      </c>
      <c r="Q198" s="25" t="s">
        <v>552</v>
      </c>
      <c r="R198" s="26" t="n">
        <f aca="false">IF(N(I198)=0,"",IF(OR(J198="mg/m²",J198="mg/m²/day"),I198*계산기!$C$14,IF(J198="mg/kg",I198*계산기!$C$6,IF(J198="AUC",I198*(계산기!$C$16+25),IF(J198="mg",I198,"")))))</f>
        <v>620</v>
      </c>
      <c r="S198" s="26" t="n">
        <f aca="false">IF(OR(R198="",L198=""),"",R198*L198)</f>
        <v>1240</v>
      </c>
      <c r="T198" s="27" t="s">
        <v>92</v>
      </c>
      <c r="U198" s="28" t="s">
        <v>93</v>
      </c>
    </row>
    <row r="199" customFormat="false" ht="15" hidden="false" customHeight="false" outlineLevel="0" collapsed="false">
      <c r="A199" s="23" t="s">
        <v>553</v>
      </c>
      <c r="B199" s="23" t="n">
        <v>2</v>
      </c>
      <c r="C199" s="24" t="s">
        <v>115</v>
      </c>
      <c r="D199" s="25" t="s">
        <v>554</v>
      </c>
      <c r="E199" s="23" t="s">
        <v>99</v>
      </c>
      <c r="F199" s="23" t="s">
        <v>555</v>
      </c>
      <c r="G199" s="25" t="s">
        <v>554</v>
      </c>
      <c r="H199" s="23" t="s">
        <v>106</v>
      </c>
      <c r="I199" s="23" t="n">
        <v>240</v>
      </c>
      <c r="J199" s="23" t="s">
        <v>107</v>
      </c>
      <c r="K199" s="29" t="s">
        <v>135</v>
      </c>
      <c r="L199" s="23" t="n">
        <v>1</v>
      </c>
      <c r="M199" s="23" t="n">
        <v>1</v>
      </c>
      <c r="N199" s="23" t="s">
        <v>136</v>
      </c>
      <c r="O199" s="29" t="s">
        <v>137</v>
      </c>
      <c r="P199" s="23" t="s">
        <v>138</v>
      </c>
      <c r="Q199" s="25"/>
      <c r="R199" s="26" t="n">
        <f aca="false">IF(N(I199)=0,"",IF(OR(J199="mg/m²",J199="mg/m²/day"),I199*계산기!$C$14,IF(J199="mg/kg",I199*계산기!$C$6,IF(J199="AUC",I199*(계산기!$C$16+25),IF(J199="mg",I199,"")))))</f>
        <v>240</v>
      </c>
      <c r="S199" s="26" t="n">
        <f aca="false">IF(OR(R199="",L199=""),"",R199*L199)</f>
        <v>240</v>
      </c>
      <c r="T199" s="27" t="s">
        <v>92</v>
      </c>
      <c r="U199" s="28" t="s">
        <v>93</v>
      </c>
    </row>
    <row r="200" customFormat="false" ht="15" hidden="false" customHeight="false" outlineLevel="0" collapsed="false">
      <c r="A200" s="23" t="s">
        <v>556</v>
      </c>
      <c r="B200" s="23" t="n">
        <v>2</v>
      </c>
      <c r="C200" s="24" t="s">
        <v>115</v>
      </c>
      <c r="D200" s="25" t="s">
        <v>557</v>
      </c>
      <c r="E200" s="23" t="s">
        <v>99</v>
      </c>
      <c r="F200" s="23" t="s">
        <v>558</v>
      </c>
      <c r="G200" s="25" t="s">
        <v>557</v>
      </c>
      <c r="H200" s="23" t="s">
        <v>106</v>
      </c>
      <c r="I200" s="23" t="n">
        <v>100</v>
      </c>
      <c r="J200" s="23" t="s">
        <v>107</v>
      </c>
      <c r="K200" s="29" t="s">
        <v>135</v>
      </c>
      <c r="L200" s="23" t="n">
        <v>1</v>
      </c>
      <c r="M200" s="23" t="n">
        <v>1</v>
      </c>
      <c r="N200" s="23" t="s">
        <v>136</v>
      </c>
      <c r="O200" s="29" t="s">
        <v>137</v>
      </c>
      <c r="P200" s="23" t="s">
        <v>138</v>
      </c>
      <c r="Q200" s="25"/>
      <c r="R200" s="26" t="n">
        <f aca="false">IF(N(I200)=0,"",IF(OR(J200="mg/m²",J200="mg/m²/day"),I200*계산기!$C$14,IF(J200="mg/kg",I200*계산기!$C$6,IF(J200="AUC",I200*(계산기!$C$16+25),IF(J200="mg",I200,"")))))</f>
        <v>100</v>
      </c>
      <c r="S200" s="26" t="n">
        <f aca="false">IF(OR(R200="",L200=""),"",R200*L200)</f>
        <v>100</v>
      </c>
      <c r="T200" s="27" t="s">
        <v>92</v>
      </c>
      <c r="U200" s="28" t="s">
        <v>93</v>
      </c>
    </row>
    <row r="201" customFormat="false" ht="26.85" hidden="false" customHeight="false" outlineLevel="0" collapsed="false">
      <c r="A201" s="23" t="s">
        <v>559</v>
      </c>
      <c r="B201" s="23" t="n">
        <v>9</v>
      </c>
      <c r="C201" s="24" t="s">
        <v>242</v>
      </c>
      <c r="D201" s="25" t="s">
        <v>560</v>
      </c>
      <c r="E201" s="23" t="s">
        <v>99</v>
      </c>
      <c r="F201" s="23" t="s">
        <v>264</v>
      </c>
      <c r="G201" s="25" t="s">
        <v>561</v>
      </c>
      <c r="H201" s="23" t="s">
        <v>106</v>
      </c>
      <c r="I201" s="23" t="n">
        <v>600</v>
      </c>
      <c r="J201" s="23" t="s">
        <v>107</v>
      </c>
      <c r="K201" s="23" t="s">
        <v>213</v>
      </c>
      <c r="L201" s="23" t="n">
        <v>1</v>
      </c>
      <c r="M201" s="23" t="n">
        <v>28</v>
      </c>
      <c r="N201" s="23" t="s">
        <v>214</v>
      </c>
      <c r="O201" s="23"/>
      <c r="P201" s="23" t="s">
        <v>138</v>
      </c>
      <c r="Q201" s="25"/>
      <c r="R201" s="26" t="n">
        <f aca="false">IF(N(I201)=0,"",IF(OR(J201="mg/m²",J201="mg/m²/day"),I201*계산기!$C$14,IF(J201="mg/kg",I201*계산기!$C$6,IF(J201="AUC",I201*(계산기!$C$16+25),IF(J201="mg",I201,"")))))</f>
        <v>600</v>
      </c>
      <c r="S201" s="26" t="n">
        <f aca="false">IF(OR(R201="",L201=""),"",R201*L201)</f>
        <v>600</v>
      </c>
      <c r="T201" s="27" t="s">
        <v>92</v>
      </c>
      <c r="U201" s="28" t="s">
        <v>93</v>
      </c>
    </row>
    <row r="202" customFormat="false" ht="15" hidden="false" customHeight="false" outlineLevel="0" collapsed="false">
      <c r="A202" s="23"/>
      <c r="B202" s="23"/>
      <c r="C202" s="25"/>
      <c r="D202" s="25"/>
      <c r="E202" s="23"/>
      <c r="F202" s="23"/>
      <c r="G202" s="25" t="s">
        <v>266</v>
      </c>
      <c r="H202" s="23" t="s">
        <v>87</v>
      </c>
      <c r="I202" s="23" t="n">
        <v>2.5</v>
      </c>
      <c r="J202" s="23" t="s">
        <v>107</v>
      </c>
      <c r="K202" s="29" t="s">
        <v>135</v>
      </c>
      <c r="L202" s="23" t="n">
        <v>1</v>
      </c>
      <c r="M202" s="23" t="n">
        <v>1</v>
      </c>
      <c r="N202" s="23" t="s">
        <v>136</v>
      </c>
      <c r="O202" s="29" t="s">
        <v>137</v>
      </c>
      <c r="P202" s="23" t="s">
        <v>138</v>
      </c>
      <c r="Q202" s="25" t="s">
        <v>562</v>
      </c>
      <c r="R202" s="26" t="n">
        <f aca="false">IF(N(I202)=0,"",IF(OR(J202="mg/m²",J202="mg/m²/day"),I202*계산기!$C$14,IF(J202="mg/kg",I202*계산기!$C$6,IF(J202="AUC",I202*(계산기!$C$16+25),IF(J202="mg",I202,"")))))</f>
        <v>2.5</v>
      </c>
      <c r="S202" s="26" t="n">
        <f aca="false">IF(OR(R202="",L202=""),"",R202*L202)</f>
        <v>2.5</v>
      </c>
      <c r="T202" s="27"/>
      <c r="U202" s="28"/>
    </row>
    <row r="203" customFormat="false" ht="22.35" hidden="false" customHeight="false" outlineLevel="0" collapsed="false">
      <c r="A203" s="23" t="s">
        <v>563</v>
      </c>
      <c r="B203" s="23" t="n">
        <v>9</v>
      </c>
      <c r="C203" s="24" t="s">
        <v>242</v>
      </c>
      <c r="D203" s="25" t="s">
        <v>564</v>
      </c>
      <c r="E203" s="23" t="s">
        <v>99</v>
      </c>
      <c r="F203" s="23" t="s">
        <v>264</v>
      </c>
      <c r="G203" s="25" t="s">
        <v>565</v>
      </c>
      <c r="H203" s="23" t="s">
        <v>106</v>
      </c>
      <c r="I203" s="23" t="n">
        <v>150</v>
      </c>
      <c r="J203" s="23" t="s">
        <v>107</v>
      </c>
      <c r="K203" s="23" t="s">
        <v>145</v>
      </c>
      <c r="L203" s="23" t="n">
        <v>2</v>
      </c>
      <c r="M203" s="23" t="n">
        <v>1</v>
      </c>
      <c r="N203" s="23" t="s">
        <v>136</v>
      </c>
      <c r="O203" s="29" t="s">
        <v>137</v>
      </c>
      <c r="P203" s="23" t="s">
        <v>138</v>
      </c>
      <c r="Q203" s="25"/>
      <c r="R203" s="26" t="n">
        <f aca="false">IF(N(I203)=0,"",IF(OR(J203="mg/m²",J203="mg/m²/day"),I203*계산기!$C$14,IF(J203="mg/kg",I203*계산기!$C$6,IF(J203="AUC",I203*(계산기!$C$16+25),IF(J203="mg",I203,"")))))</f>
        <v>150</v>
      </c>
      <c r="S203" s="26" t="n">
        <f aca="false">IF(OR(R203="",L203=""),"",R203*L203)</f>
        <v>300</v>
      </c>
      <c r="T203" s="27" t="s">
        <v>92</v>
      </c>
      <c r="U203" s="28" t="s">
        <v>93</v>
      </c>
    </row>
    <row r="204" customFormat="false" ht="15" hidden="false" customHeight="false" outlineLevel="0" collapsed="false">
      <c r="A204" s="23"/>
      <c r="B204" s="23"/>
      <c r="C204" s="25"/>
      <c r="D204" s="25"/>
      <c r="E204" s="23"/>
      <c r="F204" s="23"/>
      <c r="G204" s="25" t="s">
        <v>566</v>
      </c>
      <c r="H204" s="23" t="s">
        <v>87</v>
      </c>
      <c r="I204" s="23" t="n">
        <v>1</v>
      </c>
      <c r="J204" s="23" t="s">
        <v>107</v>
      </c>
      <c r="K204" s="29" t="s">
        <v>135</v>
      </c>
      <c r="L204" s="23" t="n">
        <v>1</v>
      </c>
      <c r="M204" s="23" t="n">
        <v>1</v>
      </c>
      <c r="N204" s="23" t="s">
        <v>136</v>
      </c>
      <c r="O204" s="29" t="s">
        <v>137</v>
      </c>
      <c r="P204" s="23" t="s">
        <v>138</v>
      </c>
      <c r="Q204" s="25"/>
      <c r="R204" s="26" t="n">
        <f aca="false">IF(N(I204)=0,"",IF(OR(J204="mg/m²",J204="mg/m²/day"),I204*계산기!$C$14,IF(J204="mg/kg",I204*계산기!$C$6,IF(J204="AUC",I204*(계산기!$C$16+25),IF(J204="mg",I204,"")))))</f>
        <v>1</v>
      </c>
      <c r="S204" s="26" t="n">
        <f aca="false">IF(OR(R204="",L204=""),"",R204*L204)</f>
        <v>1</v>
      </c>
      <c r="T204" s="27"/>
      <c r="U204" s="28"/>
    </row>
    <row r="205" customFormat="false" ht="22.35" hidden="false" customHeight="false" outlineLevel="0" collapsed="false">
      <c r="A205" s="23" t="s">
        <v>567</v>
      </c>
      <c r="B205" s="23" t="n">
        <v>9</v>
      </c>
      <c r="C205" s="24" t="s">
        <v>242</v>
      </c>
      <c r="D205" s="25" t="s">
        <v>568</v>
      </c>
      <c r="E205" s="23" t="s">
        <v>280</v>
      </c>
      <c r="F205" s="23" t="s">
        <v>258</v>
      </c>
      <c r="G205" s="25" t="s">
        <v>569</v>
      </c>
      <c r="H205" s="23" t="s">
        <v>106</v>
      </c>
      <c r="I205" s="23" t="n">
        <v>3.6</v>
      </c>
      <c r="J205" s="23" t="s">
        <v>165</v>
      </c>
      <c r="K205" s="23" t="s">
        <v>95</v>
      </c>
      <c r="L205" s="23" t="n">
        <v>1</v>
      </c>
      <c r="M205" s="23" t="n">
        <v>21</v>
      </c>
      <c r="N205" s="23" t="s">
        <v>90</v>
      </c>
      <c r="O205" s="23"/>
      <c r="P205" s="23" t="s">
        <v>91</v>
      </c>
      <c r="Q205" s="25"/>
      <c r="R205" s="26" t="n">
        <f aca="false">IF(N(I205)=0,"",IF(OR(J205="mg/m²",J205="mg/m²/day"),I205*계산기!$C$14,IF(J205="mg/kg",I205*계산기!$C$6,IF(J205="AUC",I205*(계산기!$C$16+25),IF(J205="mg",I205,"")))))</f>
        <v>223.2</v>
      </c>
      <c r="S205" s="26" t="n">
        <f aca="false">IF(OR(R205="",L205=""),"",R205*L205)</f>
        <v>223.2</v>
      </c>
      <c r="T205" s="27" t="s">
        <v>92</v>
      </c>
      <c r="U205" s="28" t="s">
        <v>93</v>
      </c>
    </row>
    <row r="206" customFormat="false" ht="26.85" hidden="false" customHeight="false" outlineLevel="0" collapsed="false">
      <c r="A206" s="23" t="s">
        <v>570</v>
      </c>
      <c r="B206" s="23" t="n">
        <v>9</v>
      </c>
      <c r="C206" s="24" t="s">
        <v>242</v>
      </c>
      <c r="D206" s="25" t="s">
        <v>571</v>
      </c>
      <c r="E206" s="23" t="s">
        <v>99</v>
      </c>
      <c r="F206" s="23" t="s">
        <v>572</v>
      </c>
      <c r="G206" s="25" t="s">
        <v>131</v>
      </c>
      <c r="H206" s="23" t="s">
        <v>106</v>
      </c>
      <c r="I206" s="23" t="n">
        <v>200</v>
      </c>
      <c r="J206" s="23" t="s">
        <v>107</v>
      </c>
      <c r="K206" s="23" t="s">
        <v>95</v>
      </c>
      <c r="L206" s="23" t="n">
        <v>1</v>
      </c>
      <c r="M206" s="23" t="n">
        <v>21</v>
      </c>
      <c r="N206" s="23" t="s">
        <v>90</v>
      </c>
      <c r="O206" s="23"/>
      <c r="P206" s="23" t="s">
        <v>91</v>
      </c>
      <c r="Q206" s="25" t="s">
        <v>573</v>
      </c>
      <c r="R206" s="26" t="n">
        <f aca="false">IF(N(I206)=0,"",IF(OR(J206="mg/m²",J206="mg/m²/day"),I206*계산기!$C$14,IF(J206="mg/kg",I206*계산기!$C$6,IF(J206="AUC",I206*(계산기!$C$16+25),IF(J206="mg",I206,"")))))</f>
        <v>200</v>
      </c>
      <c r="S206" s="26" t="n">
        <f aca="false">IF(OR(R206="",L206=""),"",R206*L206)</f>
        <v>200</v>
      </c>
      <c r="T206" s="27" t="s">
        <v>92</v>
      </c>
      <c r="U206" s="28" t="s">
        <v>93</v>
      </c>
    </row>
    <row r="207" customFormat="false" ht="15" hidden="false" customHeight="false" outlineLevel="0" collapsed="false">
      <c r="A207" s="23"/>
      <c r="B207" s="23"/>
      <c r="C207" s="25"/>
      <c r="D207" s="25"/>
      <c r="E207" s="23"/>
      <c r="F207" s="23"/>
      <c r="G207" s="25" t="s">
        <v>200</v>
      </c>
      <c r="H207" s="23" t="s">
        <v>87</v>
      </c>
      <c r="I207" s="23" t="n">
        <v>100</v>
      </c>
      <c r="J207" s="23" t="s">
        <v>88</v>
      </c>
      <c r="K207" s="23" t="s">
        <v>173</v>
      </c>
      <c r="L207" s="23" t="n">
        <v>3</v>
      </c>
      <c r="M207" s="23" t="n">
        <v>28</v>
      </c>
      <c r="N207" s="23" t="s">
        <v>172</v>
      </c>
      <c r="O207" s="23"/>
      <c r="P207" s="23" t="s">
        <v>91</v>
      </c>
      <c r="Q207" s="25" t="s">
        <v>574</v>
      </c>
      <c r="R207" s="26" t="n">
        <f aca="false">IF(N(I207)=0,"",IF(OR(J207="mg/m²",J207="mg/m²/day"),I207*계산기!$C$14,IF(J207="mg/kg",I207*계산기!$C$6,IF(J207="AUC",I207*(계산기!$C$16+25),IF(J207="mg",I207,"")))))</f>
        <v>168.572437446537</v>
      </c>
      <c r="S207" s="26" t="n">
        <f aca="false">IF(OR(R207="",L207=""),"",R207*L207)</f>
        <v>505.717312339611</v>
      </c>
      <c r="T207" s="27"/>
      <c r="U207" s="28"/>
    </row>
    <row r="208" customFormat="false" ht="26.85" hidden="false" customHeight="false" outlineLevel="0" collapsed="false">
      <c r="A208" s="23" t="s">
        <v>570</v>
      </c>
      <c r="B208" s="23" t="n">
        <v>9</v>
      </c>
      <c r="C208" s="24" t="s">
        <v>242</v>
      </c>
      <c r="D208" s="25" t="s">
        <v>575</v>
      </c>
      <c r="E208" s="23" t="s">
        <v>244</v>
      </c>
      <c r="F208" s="29" t="s">
        <v>576</v>
      </c>
      <c r="G208" s="25" t="s">
        <v>131</v>
      </c>
      <c r="H208" s="23" t="s">
        <v>106</v>
      </c>
      <c r="I208" s="23" t="n">
        <v>200</v>
      </c>
      <c r="J208" s="23" t="s">
        <v>107</v>
      </c>
      <c r="K208" s="23" t="s">
        <v>95</v>
      </c>
      <c r="L208" s="23" t="n">
        <v>1</v>
      </c>
      <c r="M208" s="23" t="n">
        <v>21</v>
      </c>
      <c r="N208" s="23" t="s">
        <v>90</v>
      </c>
      <c r="O208" s="23"/>
      <c r="P208" s="23" t="s">
        <v>91</v>
      </c>
      <c r="Q208" s="25" t="s">
        <v>577</v>
      </c>
      <c r="R208" s="26" t="n">
        <f aca="false">IF(N(I208)=0,"",IF(OR(J208="mg/m²",J208="mg/m²/day"),I208*계산기!$C$14,IF(J208="mg/kg",I208*계산기!$C$6,IF(J208="AUC",I208*(계산기!$C$16+25),IF(J208="mg",I208,"")))))</f>
        <v>200</v>
      </c>
      <c r="S208" s="26" t="n">
        <f aca="false">IF(OR(R208="",L208=""),"",R208*L208)</f>
        <v>200</v>
      </c>
      <c r="T208" s="27" t="s">
        <v>92</v>
      </c>
      <c r="U208" s="28" t="s">
        <v>93</v>
      </c>
    </row>
    <row r="209" customFormat="false" ht="26.85" hidden="false" customHeight="false" outlineLevel="0" collapsed="false">
      <c r="A209" s="23" t="s">
        <v>578</v>
      </c>
      <c r="B209" s="23" t="n">
        <v>9</v>
      </c>
      <c r="C209" s="24" t="s">
        <v>242</v>
      </c>
      <c r="D209" s="25" t="s">
        <v>579</v>
      </c>
      <c r="E209" s="23" t="s">
        <v>99</v>
      </c>
      <c r="F209" s="23" t="s">
        <v>580</v>
      </c>
      <c r="G209" s="25" t="s">
        <v>579</v>
      </c>
      <c r="H209" s="23" t="s">
        <v>106</v>
      </c>
      <c r="I209" s="23" t="n">
        <v>10</v>
      </c>
      <c r="J209" s="23" t="s">
        <v>165</v>
      </c>
      <c r="K209" s="23" t="s">
        <v>126</v>
      </c>
      <c r="L209" s="23" t="n">
        <v>2</v>
      </c>
      <c r="M209" s="23" t="n">
        <v>21</v>
      </c>
      <c r="N209" s="23" t="s">
        <v>90</v>
      </c>
      <c r="O209" s="23"/>
      <c r="P209" s="23" t="s">
        <v>91</v>
      </c>
      <c r="Q209" s="25"/>
      <c r="R209" s="26" t="n">
        <f aca="false">IF(N(I209)=0,"",IF(OR(J209="mg/m²",J209="mg/m²/day"),I209*계산기!$C$14,IF(J209="mg/kg",I209*계산기!$C$6,IF(J209="AUC",I209*(계산기!$C$16+25),IF(J209="mg",I209,"")))))</f>
        <v>620</v>
      </c>
      <c r="S209" s="26" t="n">
        <f aca="false">IF(OR(R209="",L209=""),"",R209*L209)</f>
        <v>1240</v>
      </c>
      <c r="T209" s="27" t="s">
        <v>92</v>
      </c>
      <c r="U209" s="28" t="s">
        <v>93</v>
      </c>
    </row>
    <row r="210" customFormat="false" ht="15" hidden="false" customHeight="false" outlineLevel="0" collapsed="false">
      <c r="A210" s="23" t="s">
        <v>581</v>
      </c>
      <c r="B210" s="23" t="n">
        <v>3</v>
      </c>
      <c r="C210" s="24" t="s">
        <v>148</v>
      </c>
      <c r="D210" s="25" t="s">
        <v>582</v>
      </c>
      <c r="E210" s="23" t="s">
        <v>99</v>
      </c>
      <c r="F210" s="23" t="s">
        <v>583</v>
      </c>
      <c r="G210" s="25" t="s">
        <v>401</v>
      </c>
      <c r="H210" s="23" t="s">
        <v>106</v>
      </c>
      <c r="I210" s="23" t="n">
        <v>360</v>
      </c>
      <c r="J210" s="23" t="s">
        <v>107</v>
      </c>
      <c r="K210" s="23" t="s">
        <v>95</v>
      </c>
      <c r="L210" s="23" t="n">
        <v>1</v>
      </c>
      <c r="M210" s="23" t="n">
        <v>21</v>
      </c>
      <c r="N210" s="23" t="s">
        <v>90</v>
      </c>
      <c r="O210" s="23"/>
      <c r="P210" s="23" t="s">
        <v>91</v>
      </c>
      <c r="Q210" s="25" t="s">
        <v>584</v>
      </c>
      <c r="R210" s="26" t="n">
        <f aca="false">IF(N(I210)=0,"",IF(OR(J210="mg/m²",J210="mg/m²/day"),I210*계산기!$C$14,IF(J210="mg/kg",I210*계산기!$C$6,IF(J210="AUC",I210*(계산기!$C$16+25),IF(J210="mg",I210,"")))))</f>
        <v>360</v>
      </c>
      <c r="S210" s="26" t="n">
        <f aca="false">IF(OR(R210="",L210=""),"",R210*L210)</f>
        <v>360</v>
      </c>
      <c r="T210" s="27" t="s">
        <v>92</v>
      </c>
      <c r="U210" s="28" t="s">
        <v>93</v>
      </c>
    </row>
    <row r="211" customFormat="false" ht="15" hidden="false" customHeight="false" outlineLevel="0" collapsed="false">
      <c r="A211" s="23"/>
      <c r="B211" s="23"/>
      <c r="C211" s="25"/>
      <c r="D211" s="25"/>
      <c r="E211" s="23"/>
      <c r="F211" s="23"/>
      <c r="G211" s="25" t="s">
        <v>150</v>
      </c>
      <c r="H211" s="23" t="s">
        <v>87</v>
      </c>
      <c r="I211" s="23" t="n">
        <v>130</v>
      </c>
      <c r="J211" s="23" t="s">
        <v>88</v>
      </c>
      <c r="K211" s="23" t="s">
        <v>95</v>
      </c>
      <c r="L211" s="23" t="n">
        <v>1</v>
      </c>
      <c r="M211" s="23" t="n">
        <v>21</v>
      </c>
      <c r="N211" s="23" t="s">
        <v>90</v>
      </c>
      <c r="O211" s="23"/>
      <c r="P211" s="23" t="s">
        <v>91</v>
      </c>
      <c r="Q211" s="25" t="s">
        <v>585</v>
      </c>
      <c r="R211" s="26" t="n">
        <f aca="false">IF(N(I211)=0,"",IF(OR(J211="mg/m²",J211="mg/m²/day"),I211*계산기!$C$14,IF(J211="mg/kg",I211*계산기!$C$6,IF(J211="AUC",I211*(계산기!$C$16+25),IF(J211="mg",I211,"")))))</f>
        <v>219.144168680498</v>
      </c>
      <c r="S211" s="26" t="n">
        <f aca="false">IF(OR(R211="",L211=""),"",R211*L211)</f>
        <v>219.144168680498</v>
      </c>
      <c r="T211" s="27"/>
      <c r="U211" s="28"/>
    </row>
    <row r="212" customFormat="false" ht="15" hidden="false" customHeight="false" outlineLevel="0" collapsed="false">
      <c r="A212" s="23"/>
      <c r="B212" s="23"/>
      <c r="C212" s="25"/>
      <c r="D212" s="25"/>
      <c r="E212" s="23"/>
      <c r="F212" s="23"/>
      <c r="G212" s="25" t="s">
        <v>159</v>
      </c>
      <c r="H212" s="23" t="s">
        <v>87</v>
      </c>
      <c r="I212" s="23" t="n">
        <v>1000</v>
      </c>
      <c r="J212" s="23" t="s">
        <v>88</v>
      </c>
      <c r="K212" s="23" t="s">
        <v>160</v>
      </c>
      <c r="L212" s="23" t="n">
        <v>2</v>
      </c>
      <c r="M212" s="23" t="n">
        <v>21</v>
      </c>
      <c r="N212" s="23" t="s">
        <v>90</v>
      </c>
      <c r="O212" s="23"/>
      <c r="P212" s="23" t="s">
        <v>138</v>
      </c>
      <c r="Q212" s="25"/>
      <c r="R212" s="26" t="n">
        <f aca="false">IF(N(I212)=0,"",IF(OR(J212="mg/m²",J212="mg/m²/day"),I212*계산기!$C$14,IF(J212="mg/kg",I212*계산기!$C$6,IF(J212="AUC",I212*(계산기!$C$16+25),IF(J212="mg",I212,"")))))</f>
        <v>1685.72437446537</v>
      </c>
      <c r="S212" s="26" t="n">
        <f aca="false">IF(OR(R212="",L212=""),"",R212*L212)</f>
        <v>3371.44874893074</v>
      </c>
      <c r="T212" s="27"/>
      <c r="U212" s="28"/>
    </row>
    <row r="213" customFormat="false" ht="24.6" hidden="false" customHeight="false" outlineLevel="0" collapsed="false">
      <c r="A213" s="23" t="s">
        <v>586</v>
      </c>
      <c r="B213" s="23" t="n">
        <v>3</v>
      </c>
      <c r="C213" s="24" t="s">
        <v>148</v>
      </c>
      <c r="D213" s="25" t="s">
        <v>587</v>
      </c>
      <c r="E213" s="23" t="s">
        <v>99</v>
      </c>
      <c r="F213" s="23" t="s">
        <v>588</v>
      </c>
      <c r="G213" s="25" t="s">
        <v>131</v>
      </c>
      <c r="H213" s="23" t="s">
        <v>106</v>
      </c>
      <c r="I213" s="23" t="n">
        <v>200</v>
      </c>
      <c r="J213" s="23" t="s">
        <v>107</v>
      </c>
      <c r="K213" s="23" t="s">
        <v>95</v>
      </c>
      <c r="L213" s="23" t="n">
        <v>1</v>
      </c>
      <c r="M213" s="23" t="n">
        <v>21</v>
      </c>
      <c r="N213" s="23" t="s">
        <v>90</v>
      </c>
      <c r="O213" s="23"/>
      <c r="P213" s="23" t="s">
        <v>91</v>
      </c>
      <c r="Q213" s="25" t="s">
        <v>589</v>
      </c>
      <c r="R213" s="26" t="n">
        <f aca="false">IF(N(I213)=0,"",IF(OR(J213="mg/m²",J213="mg/m²/day"),I213*계산기!$C$14,IF(J213="mg/kg",I213*계산기!$C$6,IF(J213="AUC",I213*(계산기!$C$16+25),IF(J213="mg",I213,"")))))</f>
        <v>200</v>
      </c>
      <c r="S213" s="26" t="n">
        <f aca="false">IF(OR(R213="",L213=""),"",R213*L213)</f>
        <v>200</v>
      </c>
      <c r="T213" s="27" t="s">
        <v>92</v>
      </c>
      <c r="U213" s="28" t="s">
        <v>93</v>
      </c>
    </row>
    <row r="214" customFormat="false" ht="15" hidden="false" customHeight="false" outlineLevel="0" collapsed="false">
      <c r="A214" s="23"/>
      <c r="B214" s="23"/>
      <c r="C214" s="25"/>
      <c r="D214" s="25"/>
      <c r="E214" s="23"/>
      <c r="F214" s="23"/>
      <c r="G214" s="25" t="s">
        <v>164</v>
      </c>
      <c r="H214" s="23" t="s">
        <v>106</v>
      </c>
      <c r="I214" s="23" t="n">
        <v>6</v>
      </c>
      <c r="J214" s="23" t="s">
        <v>165</v>
      </c>
      <c r="K214" s="23" t="s">
        <v>95</v>
      </c>
      <c r="L214" s="23" t="n">
        <v>1</v>
      </c>
      <c r="M214" s="23" t="n">
        <v>21</v>
      </c>
      <c r="N214" s="23" t="s">
        <v>90</v>
      </c>
      <c r="O214" s="23"/>
      <c r="P214" s="23" t="s">
        <v>91</v>
      </c>
      <c r="Q214" s="24" t="s">
        <v>259</v>
      </c>
      <c r="R214" s="26" t="n">
        <f aca="false">IF(N(I214)=0,"",IF(OR(J214="mg/m²",J214="mg/m²/day"),I214*계산기!$C$14,IF(J214="mg/kg",I214*계산기!$C$6,IF(J214="AUC",I214*(계산기!$C$16+25),IF(J214="mg",I214,"")))))</f>
        <v>372</v>
      </c>
      <c r="S214" s="26" t="n">
        <f aca="false">IF(OR(R214="",L214=""),"",R214*L214)</f>
        <v>372</v>
      </c>
      <c r="T214" s="27"/>
      <c r="U214" s="28"/>
    </row>
    <row r="215" customFormat="false" ht="15" hidden="false" customHeight="false" outlineLevel="0" collapsed="false">
      <c r="A215" s="23"/>
      <c r="B215" s="23"/>
      <c r="C215" s="25"/>
      <c r="D215" s="25"/>
      <c r="E215" s="23"/>
      <c r="F215" s="23"/>
      <c r="G215" s="25" t="s">
        <v>154</v>
      </c>
      <c r="H215" s="23" t="s">
        <v>87</v>
      </c>
      <c r="I215" s="23" t="n">
        <v>800</v>
      </c>
      <c r="J215" s="23" t="s">
        <v>391</v>
      </c>
      <c r="K215" s="23" t="s">
        <v>113</v>
      </c>
      <c r="L215" s="23" t="n">
        <v>1</v>
      </c>
      <c r="M215" s="23" t="n">
        <v>21</v>
      </c>
      <c r="N215" s="23" t="s">
        <v>90</v>
      </c>
      <c r="O215" s="23"/>
      <c r="P215" s="23" t="s">
        <v>91</v>
      </c>
      <c r="Q215" s="25" t="s">
        <v>590</v>
      </c>
      <c r="R215" s="26" t="n">
        <f aca="false">IF(N(I215)=0,"",IF(OR(J215="mg/m²",J215="mg/m²/day"),I215*계산기!$C$14,IF(J215="mg/kg",I215*계산기!$C$6,IF(J215="AUC",I215*(계산기!$C$16+25),IF(J215="mg",I215,"")))))</f>
        <v>1348.5794995723</v>
      </c>
      <c r="S215" s="26" t="n">
        <f aca="false">IF(OR(R215="",L215=""),"",R215*L215)</f>
        <v>1348.5794995723</v>
      </c>
      <c r="T215" s="27"/>
      <c r="U215" s="28"/>
    </row>
    <row r="216" customFormat="false" ht="26.85" hidden="false" customHeight="false" outlineLevel="0" collapsed="false">
      <c r="A216" s="23" t="s">
        <v>591</v>
      </c>
      <c r="B216" s="23" t="n">
        <v>3</v>
      </c>
      <c r="C216" s="24" t="s">
        <v>148</v>
      </c>
      <c r="D216" s="25" t="s">
        <v>271</v>
      </c>
      <c r="E216" s="23" t="s">
        <v>99</v>
      </c>
      <c r="F216" s="23" t="s">
        <v>270</v>
      </c>
      <c r="G216" s="25" t="s">
        <v>271</v>
      </c>
      <c r="H216" s="23" t="s">
        <v>106</v>
      </c>
      <c r="I216" s="23" t="n">
        <v>6.4</v>
      </c>
      <c r="J216" s="23" t="s">
        <v>165</v>
      </c>
      <c r="K216" s="23" t="s">
        <v>95</v>
      </c>
      <c r="L216" s="23" t="n">
        <v>1</v>
      </c>
      <c r="M216" s="23" t="n">
        <v>21</v>
      </c>
      <c r="N216" s="23" t="s">
        <v>90</v>
      </c>
      <c r="O216" s="23"/>
      <c r="P216" s="23" t="s">
        <v>91</v>
      </c>
      <c r="Q216" s="25"/>
      <c r="R216" s="26" t="n">
        <f aca="false">IF(N(I216)=0,"",IF(OR(J216="mg/m²",J216="mg/m²/day"),I216*계산기!$C$14,IF(J216="mg/kg",I216*계산기!$C$6,IF(J216="AUC",I216*(계산기!$C$16+25),IF(J216="mg",I216,"")))))</f>
        <v>396.8</v>
      </c>
      <c r="S216" s="26" t="n">
        <f aca="false">IF(OR(R216="",L216=""),"",R216*L216)</f>
        <v>396.8</v>
      </c>
      <c r="T216" s="27" t="s">
        <v>92</v>
      </c>
      <c r="U216" s="28" t="s">
        <v>93</v>
      </c>
    </row>
    <row r="217" customFormat="false" ht="15" hidden="false" customHeight="false" outlineLevel="0" collapsed="false">
      <c r="A217" s="23" t="s">
        <v>592</v>
      </c>
      <c r="B217" s="23" t="n">
        <v>3</v>
      </c>
      <c r="C217" s="24" t="s">
        <v>148</v>
      </c>
      <c r="D217" s="25" t="s">
        <v>593</v>
      </c>
      <c r="E217" s="23" t="s">
        <v>99</v>
      </c>
      <c r="F217" s="23" t="s">
        <v>169</v>
      </c>
      <c r="G217" s="25" t="s">
        <v>170</v>
      </c>
      <c r="H217" s="23" t="s">
        <v>106</v>
      </c>
      <c r="I217" s="23" t="n">
        <v>8</v>
      </c>
      <c r="J217" s="23" t="s">
        <v>165</v>
      </c>
      <c r="K217" s="23" t="s">
        <v>171</v>
      </c>
      <c r="L217" s="23" t="n">
        <v>2</v>
      </c>
      <c r="M217" s="23" t="n">
        <v>28</v>
      </c>
      <c r="N217" s="23" t="s">
        <v>151</v>
      </c>
      <c r="O217" s="23"/>
      <c r="P217" s="23" t="s">
        <v>91</v>
      </c>
      <c r="Q217" s="25"/>
      <c r="R217" s="26" t="n">
        <f aca="false">IF(N(I217)=0,"",IF(OR(J217="mg/m²",J217="mg/m²/day"),I217*계산기!$C$14,IF(J217="mg/kg",I217*계산기!$C$6,IF(J217="AUC",I217*(계산기!$C$16+25),IF(J217="mg",I217,"")))))</f>
        <v>496</v>
      </c>
      <c r="S217" s="26" t="n">
        <f aca="false">IF(OR(R217="",L217=""),"",R217*L217)</f>
        <v>992</v>
      </c>
      <c r="T217" s="27" t="s">
        <v>92</v>
      </c>
      <c r="U217" s="28" t="s">
        <v>93</v>
      </c>
    </row>
    <row r="218" customFormat="false" ht="22.35" hidden="false" customHeight="false" outlineLevel="0" collapsed="false">
      <c r="A218" s="23" t="s">
        <v>594</v>
      </c>
      <c r="B218" s="23" t="n">
        <v>15</v>
      </c>
      <c r="C218" s="24" t="s">
        <v>337</v>
      </c>
      <c r="D218" s="25" t="s">
        <v>595</v>
      </c>
      <c r="E218" s="23" t="s">
        <v>99</v>
      </c>
      <c r="F218" s="23" t="s">
        <v>596</v>
      </c>
      <c r="G218" s="25" t="s">
        <v>595</v>
      </c>
      <c r="H218" s="23" t="s">
        <v>106</v>
      </c>
      <c r="I218" s="23" t="n">
        <v>240</v>
      </c>
      <c r="J218" s="23" t="s">
        <v>107</v>
      </c>
      <c r="K218" s="29" t="s">
        <v>135</v>
      </c>
      <c r="L218" s="23" t="n">
        <v>1</v>
      </c>
      <c r="M218" s="23" t="n">
        <v>1</v>
      </c>
      <c r="N218" s="23" t="s">
        <v>136</v>
      </c>
      <c r="O218" s="29" t="s">
        <v>137</v>
      </c>
      <c r="P218" s="23" t="s">
        <v>138</v>
      </c>
      <c r="Q218" s="25" t="s">
        <v>597</v>
      </c>
      <c r="R218" s="26" t="n">
        <f aca="false">IF(N(I218)=0,"",IF(OR(J218="mg/m²",J218="mg/m²/day"),I218*계산기!$C$14,IF(J218="mg/kg",I218*계산기!$C$6,IF(J218="AUC",I218*(계산기!$C$16+25),IF(J218="mg",I218,"")))))</f>
        <v>240</v>
      </c>
      <c r="S218" s="26" t="n">
        <f aca="false">IF(OR(R218="",L218=""),"",R218*L218)</f>
        <v>240</v>
      </c>
      <c r="T218" s="27" t="s">
        <v>92</v>
      </c>
      <c r="U218" s="28" t="s">
        <v>93</v>
      </c>
    </row>
    <row r="219" customFormat="false" ht="22.35" hidden="false" customHeight="false" outlineLevel="0" collapsed="false">
      <c r="A219" s="23" t="s">
        <v>598</v>
      </c>
      <c r="B219" s="23" t="n">
        <v>15</v>
      </c>
      <c r="C219" s="24" t="s">
        <v>337</v>
      </c>
      <c r="D219" s="25" t="s">
        <v>599</v>
      </c>
      <c r="E219" s="23" t="s">
        <v>99</v>
      </c>
      <c r="F219" s="23" t="s">
        <v>600</v>
      </c>
      <c r="G219" s="25" t="s">
        <v>599</v>
      </c>
      <c r="H219" s="23" t="s">
        <v>106</v>
      </c>
      <c r="I219" s="23" t="n">
        <v>600</v>
      </c>
      <c r="J219" s="23" t="s">
        <v>107</v>
      </c>
      <c r="K219" s="23" t="s">
        <v>145</v>
      </c>
      <c r="L219" s="23" t="n">
        <v>2</v>
      </c>
      <c r="M219" s="23" t="n">
        <v>1</v>
      </c>
      <c r="N219" s="23" t="s">
        <v>136</v>
      </c>
      <c r="O219" s="29" t="s">
        <v>137</v>
      </c>
      <c r="P219" s="23" t="s">
        <v>138</v>
      </c>
      <c r="Q219" s="25" t="s">
        <v>597</v>
      </c>
      <c r="R219" s="26" t="n">
        <f aca="false">IF(N(I219)=0,"",IF(OR(J219="mg/m²",J219="mg/m²/day"),I219*계산기!$C$14,IF(J219="mg/kg",I219*계산기!$C$6,IF(J219="AUC",I219*(계산기!$C$16+25),IF(J219="mg",I219,"")))))</f>
        <v>600</v>
      </c>
      <c r="S219" s="26" t="n">
        <f aca="false">IF(OR(R219="",L219=""),"",R219*L219)</f>
        <v>1200</v>
      </c>
      <c r="T219" s="27" t="s">
        <v>92</v>
      </c>
      <c r="U219" s="28" t="s">
        <v>93</v>
      </c>
    </row>
    <row r="220" customFormat="false" ht="24.6" hidden="false" customHeight="false" outlineLevel="0" collapsed="false">
      <c r="A220" s="23" t="s">
        <v>601</v>
      </c>
      <c r="B220" s="23" t="n">
        <v>15</v>
      </c>
      <c r="C220" s="24" t="s">
        <v>337</v>
      </c>
      <c r="D220" s="25" t="s">
        <v>285</v>
      </c>
      <c r="E220" s="23" t="s">
        <v>99</v>
      </c>
      <c r="F220" s="23" t="s">
        <v>602</v>
      </c>
      <c r="G220" s="25" t="s">
        <v>285</v>
      </c>
      <c r="H220" s="23" t="s">
        <v>106</v>
      </c>
      <c r="I220" s="23" t="n">
        <v>300</v>
      </c>
      <c r="J220" s="23" t="s">
        <v>107</v>
      </c>
      <c r="K220" s="23" t="s">
        <v>145</v>
      </c>
      <c r="L220" s="23" t="n">
        <v>2</v>
      </c>
      <c r="M220" s="23" t="n">
        <v>1</v>
      </c>
      <c r="N220" s="23" t="s">
        <v>136</v>
      </c>
      <c r="O220" s="29" t="s">
        <v>137</v>
      </c>
      <c r="P220" s="23" t="s">
        <v>138</v>
      </c>
      <c r="Q220" s="24" t="s">
        <v>286</v>
      </c>
      <c r="R220" s="26" t="n">
        <f aca="false">IF(N(I220)=0,"",IF(OR(J220="mg/m²",J220="mg/m²/day"),I220*계산기!$C$14,IF(J220="mg/kg",I220*계산기!$C$6,IF(J220="AUC",I220*(계산기!$C$16+25),IF(J220="mg",I220,"")))))</f>
        <v>300</v>
      </c>
      <c r="S220" s="26" t="n">
        <f aca="false">IF(OR(R220="",L220=""),"",R220*L220)</f>
        <v>600</v>
      </c>
      <c r="T220" s="27" t="s">
        <v>92</v>
      </c>
      <c r="U220" s="28" t="s">
        <v>93</v>
      </c>
    </row>
    <row r="221" customFormat="false" ht="24.6" hidden="false" customHeight="false" outlineLevel="0" collapsed="false">
      <c r="A221" s="23" t="s">
        <v>603</v>
      </c>
      <c r="B221" s="23" t="n">
        <v>7.1</v>
      </c>
      <c r="C221" s="24" t="s">
        <v>205</v>
      </c>
      <c r="D221" s="25" t="s">
        <v>604</v>
      </c>
      <c r="E221" s="23" t="s">
        <v>99</v>
      </c>
      <c r="F221" s="23" t="s">
        <v>85</v>
      </c>
      <c r="G221" s="25" t="s">
        <v>605</v>
      </c>
      <c r="H221" s="23" t="s">
        <v>106</v>
      </c>
      <c r="I221" s="23" t="n">
        <v>300</v>
      </c>
      <c r="J221" s="23" t="s">
        <v>107</v>
      </c>
      <c r="K221" s="23" t="s">
        <v>606</v>
      </c>
      <c r="L221" s="23" t="n">
        <v>1</v>
      </c>
      <c r="M221" s="23" t="n">
        <v>1</v>
      </c>
      <c r="N221" s="29" t="s">
        <v>607</v>
      </c>
      <c r="O221" s="23" t="s">
        <v>299</v>
      </c>
      <c r="P221" s="23" t="s">
        <v>91</v>
      </c>
      <c r="Q221" s="25"/>
      <c r="R221" s="26" t="n">
        <f aca="false">IF(N(I221)=0,"",IF(OR(J221="mg/m²",J221="mg/m²/day"),I221*계산기!$C$14,IF(J221="mg/kg",I221*계산기!$C$6,IF(J221="AUC",I221*(계산기!$C$16+25),IF(J221="mg",I221,"")))))</f>
        <v>300</v>
      </c>
      <c r="S221" s="26" t="n">
        <f aca="false">IF(OR(R221="",L221=""),"",R221*L221)</f>
        <v>300</v>
      </c>
      <c r="T221" s="27" t="s">
        <v>92</v>
      </c>
      <c r="U221" s="28" t="s">
        <v>93</v>
      </c>
    </row>
    <row r="222" customFormat="false" ht="15" hidden="false" customHeight="false" outlineLevel="0" collapsed="false">
      <c r="A222" s="23"/>
      <c r="B222" s="23"/>
      <c r="C222" s="25"/>
      <c r="D222" s="25"/>
      <c r="E222" s="23"/>
      <c r="F222" s="23"/>
      <c r="G222" s="25" t="s">
        <v>219</v>
      </c>
      <c r="H222" s="23" t="s">
        <v>106</v>
      </c>
      <c r="I222" s="23" t="n">
        <v>1500</v>
      </c>
      <c r="J222" s="23" t="s">
        <v>107</v>
      </c>
      <c r="K222" s="23" t="s">
        <v>95</v>
      </c>
      <c r="L222" s="23" t="n">
        <v>1</v>
      </c>
      <c r="M222" s="23" t="n">
        <v>28</v>
      </c>
      <c r="N222" s="23" t="s">
        <v>172</v>
      </c>
      <c r="O222" s="23"/>
      <c r="P222" s="23" t="s">
        <v>91</v>
      </c>
      <c r="Q222" s="24" t="s">
        <v>108</v>
      </c>
      <c r="R222" s="26" t="n">
        <f aca="false">IF(N(I222)=0,"",IF(OR(J222="mg/m²",J222="mg/m²/day"),I222*계산기!$C$14,IF(J222="mg/kg",I222*계산기!$C$6,IF(J222="AUC",I222*(계산기!$C$16+25),IF(J222="mg",I222,"")))))</f>
        <v>1500</v>
      </c>
      <c r="S222" s="26" t="n">
        <f aca="false">IF(OR(R222="",L222=""),"",R222*L222)</f>
        <v>1500</v>
      </c>
      <c r="T222" s="27"/>
      <c r="U222" s="28"/>
    </row>
    <row r="223" customFormat="false" ht="15" hidden="false" customHeight="false" outlineLevel="0" collapsed="false">
      <c r="A223" s="23" t="s">
        <v>608</v>
      </c>
      <c r="B223" s="23" t="n">
        <v>7.1</v>
      </c>
      <c r="C223" s="24" t="s">
        <v>205</v>
      </c>
      <c r="D223" s="25" t="s">
        <v>328</v>
      </c>
      <c r="E223" s="23" t="s">
        <v>99</v>
      </c>
      <c r="F223" s="23" t="s">
        <v>112</v>
      </c>
      <c r="G223" s="25" t="s">
        <v>328</v>
      </c>
      <c r="H223" s="23" t="s">
        <v>106</v>
      </c>
      <c r="I223" s="23" t="n">
        <v>60</v>
      </c>
      <c r="J223" s="23" t="s">
        <v>107</v>
      </c>
      <c r="K223" s="29" t="s">
        <v>135</v>
      </c>
      <c r="L223" s="23" t="n">
        <v>1</v>
      </c>
      <c r="M223" s="23" t="n">
        <v>1</v>
      </c>
      <c r="N223" s="23" t="s">
        <v>136</v>
      </c>
      <c r="O223" s="29" t="s">
        <v>137</v>
      </c>
      <c r="P223" s="23" t="s">
        <v>138</v>
      </c>
      <c r="Q223" s="25"/>
      <c r="R223" s="26" t="n">
        <f aca="false">IF(N(I223)=0,"",IF(OR(J223="mg/m²",J223="mg/m²/day"),I223*계산기!$C$14,IF(J223="mg/kg",I223*계산기!$C$6,IF(J223="AUC",I223*(계산기!$C$16+25),IF(J223="mg",I223,"")))))</f>
        <v>60</v>
      </c>
      <c r="S223" s="26" t="n">
        <f aca="false">IF(OR(R223="",L223=""),"",R223*L223)</f>
        <v>60</v>
      </c>
      <c r="T223" s="27" t="s">
        <v>92</v>
      </c>
      <c r="U223" s="28" t="s">
        <v>93</v>
      </c>
    </row>
    <row r="224" customFormat="false" ht="15" hidden="false" customHeight="false" outlineLevel="0" collapsed="false">
      <c r="A224" s="23" t="s">
        <v>609</v>
      </c>
      <c r="B224" s="23" t="n">
        <v>7.1</v>
      </c>
      <c r="C224" s="24" t="s">
        <v>205</v>
      </c>
      <c r="D224" s="25" t="s">
        <v>401</v>
      </c>
      <c r="E224" s="23" t="s">
        <v>99</v>
      </c>
      <c r="F224" s="23" t="s">
        <v>169</v>
      </c>
      <c r="G224" s="25" t="s">
        <v>401</v>
      </c>
      <c r="H224" s="23" t="s">
        <v>106</v>
      </c>
      <c r="I224" s="23" t="n">
        <v>240</v>
      </c>
      <c r="J224" s="23" t="s">
        <v>107</v>
      </c>
      <c r="K224" s="23" t="s">
        <v>95</v>
      </c>
      <c r="L224" s="23" t="n">
        <v>1</v>
      </c>
      <c r="M224" s="23" t="n">
        <v>14</v>
      </c>
      <c r="N224" s="23" t="s">
        <v>151</v>
      </c>
      <c r="O224" s="23"/>
      <c r="P224" s="23" t="s">
        <v>91</v>
      </c>
      <c r="Q224" s="25" t="s">
        <v>610</v>
      </c>
      <c r="R224" s="26" t="n">
        <f aca="false">IF(N(I224)=0,"",IF(OR(J224="mg/m²",J224="mg/m²/day"),I224*계산기!$C$14,IF(J224="mg/kg",I224*계산기!$C$6,IF(J224="AUC",I224*(계산기!$C$16+25),IF(J224="mg",I224,"")))))</f>
        <v>240</v>
      </c>
      <c r="S224" s="26" t="n">
        <f aca="false">IF(OR(R224="",L224=""),"",R224*L224)</f>
        <v>240</v>
      </c>
      <c r="T224" s="27" t="s">
        <v>92</v>
      </c>
      <c r="U224" s="28" t="s">
        <v>93</v>
      </c>
    </row>
    <row r="225" customFormat="false" ht="37.3" hidden="false" customHeight="false" outlineLevel="0" collapsed="false">
      <c r="A225" s="23" t="s">
        <v>611</v>
      </c>
      <c r="B225" s="23" t="n">
        <v>6</v>
      </c>
      <c r="C225" s="24" t="s">
        <v>194</v>
      </c>
      <c r="D225" s="25" t="s">
        <v>612</v>
      </c>
      <c r="E225" s="23" t="s">
        <v>99</v>
      </c>
      <c r="F225" s="23" t="s">
        <v>613</v>
      </c>
      <c r="G225" s="25" t="s">
        <v>614</v>
      </c>
      <c r="H225" s="23" t="s">
        <v>106</v>
      </c>
      <c r="I225" s="23" t="n">
        <v>70</v>
      </c>
      <c r="J225" s="23" t="s">
        <v>88</v>
      </c>
      <c r="K225" s="23" t="s">
        <v>95</v>
      </c>
      <c r="L225" s="23" t="n">
        <v>1</v>
      </c>
      <c r="M225" s="23" t="n">
        <v>14</v>
      </c>
      <c r="N225" s="23" t="s">
        <v>151</v>
      </c>
      <c r="O225" s="23"/>
      <c r="P225" s="23" t="s">
        <v>91</v>
      </c>
      <c r="Q225" s="25"/>
      <c r="R225" s="26" t="n">
        <f aca="false">IF(N(I225)=0,"",IF(OR(J225="mg/m²",J225="mg/m²/day"),I225*계산기!$C$14,IF(J225="mg/kg",I225*계산기!$C$6,IF(J225="AUC",I225*(계산기!$C$16+25),IF(J225="mg",I225,"")))))</f>
        <v>118.000706212576</v>
      </c>
      <c r="S225" s="26" t="n">
        <f aca="false">IF(OR(R225="",L225=""),"",R225*L225)</f>
        <v>118.000706212576</v>
      </c>
      <c r="T225" s="27" t="s">
        <v>92</v>
      </c>
      <c r="U225" s="28" t="s">
        <v>93</v>
      </c>
    </row>
    <row r="226" customFormat="false" ht="15" hidden="false" customHeight="false" outlineLevel="0" collapsed="false">
      <c r="A226" s="23"/>
      <c r="B226" s="23"/>
      <c r="C226" s="25"/>
      <c r="D226" s="25"/>
      <c r="E226" s="23"/>
      <c r="F226" s="23"/>
      <c r="G226" s="25" t="s">
        <v>152</v>
      </c>
      <c r="H226" s="23" t="s">
        <v>87</v>
      </c>
      <c r="I226" s="23" t="n">
        <v>400</v>
      </c>
      <c r="J226" s="23" t="s">
        <v>88</v>
      </c>
      <c r="K226" s="23" t="s">
        <v>95</v>
      </c>
      <c r="L226" s="23" t="n">
        <v>1</v>
      </c>
      <c r="M226" s="23" t="n">
        <v>14</v>
      </c>
      <c r="N226" s="23" t="s">
        <v>151</v>
      </c>
      <c r="O226" s="23"/>
      <c r="P226" s="23" t="s">
        <v>91</v>
      </c>
      <c r="Q226" s="25"/>
      <c r="R226" s="26" t="n">
        <f aca="false">IF(N(I226)=0,"",IF(OR(J226="mg/m²",J226="mg/m²/day"),I226*계산기!$C$14,IF(J226="mg/kg",I226*계산기!$C$6,IF(J226="AUC",I226*(계산기!$C$16+25),IF(J226="mg",I226,"")))))</f>
        <v>674.289749786149</v>
      </c>
      <c r="S226" s="26" t="n">
        <f aca="false">IF(OR(R226="",L226=""),"",R226*L226)</f>
        <v>674.289749786149</v>
      </c>
      <c r="T226" s="27"/>
      <c r="U226" s="28"/>
    </row>
    <row r="227" customFormat="false" ht="15" hidden="false" customHeight="false" outlineLevel="0" collapsed="false">
      <c r="A227" s="23"/>
      <c r="B227" s="23"/>
      <c r="C227" s="25"/>
      <c r="D227" s="25"/>
      <c r="E227" s="23"/>
      <c r="F227" s="23"/>
      <c r="G227" s="25" t="s">
        <v>154</v>
      </c>
      <c r="H227" s="23" t="s">
        <v>87</v>
      </c>
      <c r="I227" s="23" t="n">
        <v>2400</v>
      </c>
      <c r="J227" s="23" t="s">
        <v>88</v>
      </c>
      <c r="K227" s="23" t="s">
        <v>155</v>
      </c>
      <c r="L227" s="23" t="n">
        <v>1</v>
      </c>
      <c r="M227" s="23" t="n">
        <v>14</v>
      </c>
      <c r="N227" s="23" t="s">
        <v>151</v>
      </c>
      <c r="O227" s="23"/>
      <c r="P227" s="23" t="s">
        <v>91</v>
      </c>
      <c r="Q227" s="25" t="s">
        <v>197</v>
      </c>
      <c r="R227" s="26" t="n">
        <f aca="false">IF(N(I227)=0,"",IF(OR(J227="mg/m²",J227="mg/m²/day"),I227*계산기!$C$14,IF(J227="mg/kg",I227*계산기!$C$6,IF(J227="AUC",I227*(계산기!$C$16+25),IF(J227="mg",I227,"")))))</f>
        <v>4045.73849871689</v>
      </c>
      <c r="S227" s="26" t="n">
        <f aca="false">IF(OR(R227="",L227=""),"",R227*L227)</f>
        <v>4045.73849871689</v>
      </c>
      <c r="T227" s="27"/>
      <c r="U227" s="28"/>
    </row>
    <row r="228" customFormat="false" ht="24.6" hidden="false" customHeight="false" outlineLevel="0" collapsed="false">
      <c r="A228" s="23" t="s">
        <v>615</v>
      </c>
      <c r="B228" s="23" t="n">
        <v>6</v>
      </c>
      <c r="C228" s="24" t="s">
        <v>194</v>
      </c>
      <c r="D228" s="25" t="s">
        <v>282</v>
      </c>
      <c r="E228" s="29" t="s">
        <v>283</v>
      </c>
      <c r="F228" s="23" t="s">
        <v>616</v>
      </c>
      <c r="G228" s="25" t="s">
        <v>285</v>
      </c>
      <c r="H228" s="23" t="s">
        <v>106</v>
      </c>
      <c r="I228" s="23" t="n">
        <v>300</v>
      </c>
      <c r="J228" s="23" t="s">
        <v>107</v>
      </c>
      <c r="K228" s="23" t="s">
        <v>145</v>
      </c>
      <c r="L228" s="23" t="n">
        <v>2</v>
      </c>
      <c r="M228" s="23" t="n">
        <v>1</v>
      </c>
      <c r="N228" s="23" t="s">
        <v>136</v>
      </c>
      <c r="O228" s="29" t="s">
        <v>137</v>
      </c>
      <c r="P228" s="23" t="s">
        <v>138</v>
      </c>
      <c r="Q228" s="25" t="s">
        <v>617</v>
      </c>
      <c r="R228" s="26" t="n">
        <f aca="false">IF(N(I228)=0,"",IF(OR(J228="mg/m²",J228="mg/m²/day"),I228*계산기!$C$14,IF(J228="mg/kg",I228*계산기!$C$6,IF(J228="AUC",I228*(계산기!$C$16+25),IF(J228="mg",I228,"")))))</f>
        <v>300</v>
      </c>
      <c r="S228" s="26" t="n">
        <f aca="false">IF(OR(R228="",L228=""),"",R228*L228)</f>
        <v>600</v>
      </c>
      <c r="T228" s="27" t="s">
        <v>92</v>
      </c>
      <c r="U228" s="28" t="s">
        <v>93</v>
      </c>
    </row>
    <row r="229" customFormat="false" ht="15" hidden="false" customHeight="false" outlineLevel="0" collapsed="false">
      <c r="A229" s="23" t="s">
        <v>618</v>
      </c>
      <c r="B229" s="23" t="n">
        <v>6</v>
      </c>
      <c r="C229" s="24" t="s">
        <v>194</v>
      </c>
      <c r="D229" s="25" t="s">
        <v>619</v>
      </c>
      <c r="E229" s="23" t="s">
        <v>117</v>
      </c>
      <c r="F229" s="23" t="s">
        <v>85</v>
      </c>
      <c r="G229" s="25" t="s">
        <v>125</v>
      </c>
      <c r="H229" s="23" t="s">
        <v>87</v>
      </c>
      <c r="I229" s="23" t="n">
        <v>1000</v>
      </c>
      <c r="J229" s="23" t="s">
        <v>88</v>
      </c>
      <c r="K229" s="23" t="s">
        <v>173</v>
      </c>
      <c r="L229" s="23" t="n">
        <v>3</v>
      </c>
      <c r="M229" s="23" t="n">
        <v>28</v>
      </c>
      <c r="N229" s="23" t="s">
        <v>172</v>
      </c>
      <c r="O229" s="23"/>
      <c r="P229" s="23" t="s">
        <v>91</v>
      </c>
      <c r="Q229" s="25"/>
      <c r="R229" s="26" t="n">
        <f aca="false">IF(N(I229)=0,"",IF(OR(J229="mg/m²",J229="mg/m²/day"),I229*계산기!$C$14,IF(J229="mg/kg",I229*계산기!$C$6,IF(J229="AUC",I229*(계산기!$C$16+25),IF(J229="mg",I229,"")))))</f>
        <v>1685.72437446537</v>
      </c>
      <c r="S229" s="26" t="n">
        <f aca="false">IF(OR(R229="",L229=""),"",R229*L229)</f>
        <v>5057.17312339611</v>
      </c>
      <c r="T229" s="27" t="s">
        <v>92</v>
      </c>
      <c r="U229" s="28" t="s">
        <v>93</v>
      </c>
    </row>
    <row r="230" customFormat="false" ht="15" hidden="false" customHeight="false" outlineLevel="0" collapsed="false">
      <c r="A230" s="23"/>
      <c r="B230" s="23"/>
      <c r="C230" s="25"/>
      <c r="D230" s="25"/>
      <c r="E230" s="23"/>
      <c r="F230" s="23"/>
      <c r="G230" s="25" t="s">
        <v>159</v>
      </c>
      <c r="H230" s="23" t="s">
        <v>87</v>
      </c>
      <c r="I230" s="23" t="n">
        <v>830</v>
      </c>
      <c r="J230" s="23" t="s">
        <v>88</v>
      </c>
      <c r="K230" s="23" t="s">
        <v>620</v>
      </c>
      <c r="L230" s="23" t="n">
        <v>2</v>
      </c>
      <c r="M230" s="23" t="n">
        <v>28</v>
      </c>
      <c r="N230" s="23" t="s">
        <v>172</v>
      </c>
      <c r="O230" s="23"/>
      <c r="P230" s="23" t="s">
        <v>138</v>
      </c>
      <c r="Q230" s="25"/>
      <c r="R230" s="26" t="n">
        <f aca="false">IF(N(I230)=0,"",IF(OR(J230="mg/m²",J230="mg/m²/day"),I230*계산기!$C$14,IF(J230="mg/kg",I230*계산기!$C$6,IF(J230="AUC",I230*(계산기!$C$16+25),IF(J230="mg",I230,"")))))</f>
        <v>1399.15123080626</v>
      </c>
      <c r="S230" s="26" t="n">
        <f aca="false">IF(OR(R230="",L230=""),"",R230*L230)</f>
        <v>2798.30246161252</v>
      </c>
      <c r="T230" s="27"/>
      <c r="U230" s="28"/>
    </row>
    <row r="231" customFormat="false" ht="26.85" hidden="false" customHeight="false" outlineLevel="0" collapsed="false">
      <c r="A231" s="23" t="s">
        <v>621</v>
      </c>
      <c r="B231" s="23" t="n">
        <v>13</v>
      </c>
      <c r="C231" s="24" t="s">
        <v>318</v>
      </c>
      <c r="D231" s="25" t="s">
        <v>400</v>
      </c>
      <c r="E231" s="23" t="s">
        <v>99</v>
      </c>
      <c r="F231" s="23" t="s">
        <v>622</v>
      </c>
      <c r="G231" s="25" t="s">
        <v>401</v>
      </c>
      <c r="H231" s="23" t="s">
        <v>106</v>
      </c>
      <c r="I231" s="23" t="n">
        <v>3</v>
      </c>
      <c r="J231" s="23" t="s">
        <v>165</v>
      </c>
      <c r="K231" s="23" t="s">
        <v>95</v>
      </c>
      <c r="L231" s="23" t="n">
        <v>1</v>
      </c>
      <c r="M231" s="23" t="n">
        <v>21</v>
      </c>
      <c r="N231" s="23" t="s">
        <v>90</v>
      </c>
      <c r="O231" s="23" t="n">
        <v>4</v>
      </c>
      <c r="P231" s="23" t="s">
        <v>91</v>
      </c>
      <c r="Q231" s="24" t="s">
        <v>623</v>
      </c>
      <c r="R231" s="26" t="n">
        <f aca="false">IF(N(I231)=0,"",IF(OR(J231="mg/m²",J231="mg/m²/day"),I231*계산기!$C$14,IF(J231="mg/kg",I231*계산기!$C$6,IF(J231="AUC",I231*(계산기!$C$16+25),IF(J231="mg",I231,"")))))</f>
        <v>186</v>
      </c>
      <c r="S231" s="26" t="n">
        <f aca="false">IF(OR(R231="",L231=""),"",R231*L231)</f>
        <v>186</v>
      </c>
      <c r="T231" s="27" t="s">
        <v>92</v>
      </c>
      <c r="U231" s="28" t="s">
        <v>93</v>
      </c>
    </row>
    <row r="232" customFormat="false" ht="15" hidden="false" customHeight="false" outlineLevel="0" collapsed="false">
      <c r="A232" s="23"/>
      <c r="B232" s="23"/>
      <c r="C232" s="25"/>
      <c r="D232" s="25"/>
      <c r="E232" s="23"/>
      <c r="F232" s="23"/>
      <c r="G232" s="25" t="s">
        <v>403</v>
      </c>
      <c r="H232" s="23" t="s">
        <v>106</v>
      </c>
      <c r="I232" s="23" t="n">
        <v>1</v>
      </c>
      <c r="J232" s="23" t="s">
        <v>165</v>
      </c>
      <c r="K232" s="23" t="s">
        <v>95</v>
      </c>
      <c r="L232" s="23" t="n">
        <v>1</v>
      </c>
      <c r="M232" s="23" t="n">
        <v>21</v>
      </c>
      <c r="N232" s="23" t="s">
        <v>90</v>
      </c>
      <c r="O232" s="23" t="n">
        <v>4</v>
      </c>
      <c r="P232" s="23" t="s">
        <v>91</v>
      </c>
      <c r="Q232" s="25"/>
      <c r="R232" s="26" t="n">
        <f aca="false">IF(N(I232)=0,"",IF(OR(J232="mg/m²",J232="mg/m²/day"),I232*계산기!$C$14,IF(J232="mg/kg",I232*계산기!$C$6,IF(J232="AUC",I232*(계산기!$C$16+25),IF(J232="mg",I232,"")))))</f>
        <v>62</v>
      </c>
      <c r="S232" s="26" t="n">
        <f aca="false">IF(OR(R232="",L232=""),"",R232*L232)</f>
        <v>62</v>
      </c>
      <c r="T232" s="27"/>
      <c r="U232" s="28"/>
    </row>
    <row r="233" customFormat="false" ht="15" hidden="false" customHeight="false" outlineLevel="0" collapsed="false">
      <c r="A233" s="23" t="s">
        <v>324</v>
      </c>
      <c r="B233" s="23" t="n">
        <v>13</v>
      </c>
      <c r="C233" s="24" t="s">
        <v>318</v>
      </c>
      <c r="D233" s="25" t="s">
        <v>624</v>
      </c>
      <c r="E233" s="23" t="s">
        <v>99</v>
      </c>
      <c r="F233" s="23" t="s">
        <v>85</v>
      </c>
      <c r="G233" s="25" t="s">
        <v>131</v>
      </c>
      <c r="H233" s="23" t="s">
        <v>106</v>
      </c>
      <c r="I233" s="23" t="n">
        <v>200</v>
      </c>
      <c r="J233" s="23" t="s">
        <v>107</v>
      </c>
      <c r="K233" s="23" t="s">
        <v>95</v>
      </c>
      <c r="L233" s="23" t="n">
        <v>1</v>
      </c>
      <c r="M233" s="23" t="n">
        <v>21</v>
      </c>
      <c r="N233" s="23" t="s">
        <v>90</v>
      </c>
      <c r="O233" s="23"/>
      <c r="P233" s="23" t="s">
        <v>91</v>
      </c>
      <c r="Q233" s="25"/>
      <c r="R233" s="26" t="n">
        <f aca="false">IF(N(I233)=0,"",IF(OR(J233="mg/m²",J233="mg/m²/day"),I233*계산기!$C$14,IF(J233="mg/kg",I233*계산기!$C$6,IF(J233="AUC",I233*(계산기!$C$16+25),IF(J233="mg",I233,"")))))</f>
        <v>200</v>
      </c>
      <c r="S233" s="26" t="n">
        <f aca="false">IF(OR(R233="",L233=""),"",R233*L233)</f>
        <v>200</v>
      </c>
      <c r="T233" s="27" t="s">
        <v>92</v>
      </c>
      <c r="U233" s="28" t="s">
        <v>93</v>
      </c>
    </row>
    <row r="234" customFormat="false" ht="15" hidden="false" customHeight="false" outlineLevel="0" collapsed="false">
      <c r="A234" s="23"/>
      <c r="B234" s="23"/>
      <c r="C234" s="25"/>
      <c r="D234" s="25"/>
      <c r="E234" s="23"/>
      <c r="F234" s="23"/>
      <c r="G234" s="25" t="s">
        <v>189</v>
      </c>
      <c r="H234" s="23" t="s">
        <v>106</v>
      </c>
      <c r="I234" s="23" t="n">
        <v>20</v>
      </c>
      <c r="J234" s="23" t="s">
        <v>107</v>
      </c>
      <c r="K234" s="29" t="s">
        <v>135</v>
      </c>
      <c r="L234" s="23" t="n">
        <v>1</v>
      </c>
      <c r="M234" s="23" t="n">
        <v>1</v>
      </c>
      <c r="N234" s="23" t="s">
        <v>136</v>
      </c>
      <c r="O234" s="29" t="s">
        <v>137</v>
      </c>
      <c r="P234" s="23" t="s">
        <v>138</v>
      </c>
      <c r="Q234" s="25"/>
      <c r="R234" s="26" t="n">
        <f aca="false">IF(N(I234)=0,"",IF(OR(J234="mg/m²",J234="mg/m²/day"),I234*계산기!$C$14,IF(J234="mg/kg",I234*계산기!$C$6,IF(J234="AUC",I234*(계산기!$C$16+25),IF(J234="mg",I234,"")))))</f>
        <v>20</v>
      </c>
      <c r="S234" s="26" t="n">
        <f aca="false">IF(OR(R234="",L234=""),"",R234*L234)</f>
        <v>20</v>
      </c>
      <c r="T234" s="27"/>
      <c r="U234" s="28"/>
    </row>
    <row r="235" customFormat="false" ht="15" hidden="false" customHeight="false" outlineLevel="0" collapsed="false">
      <c r="A235" s="23" t="s">
        <v>625</v>
      </c>
      <c r="B235" s="23" t="n">
        <v>13</v>
      </c>
      <c r="C235" s="24" t="s">
        <v>318</v>
      </c>
      <c r="D235" s="25" t="s">
        <v>626</v>
      </c>
      <c r="E235" s="23" t="s">
        <v>99</v>
      </c>
      <c r="F235" s="23" t="s">
        <v>85</v>
      </c>
      <c r="G235" s="25" t="s">
        <v>334</v>
      </c>
      <c r="H235" s="23" t="s">
        <v>106</v>
      </c>
      <c r="I235" s="23" t="n">
        <v>10</v>
      </c>
      <c r="J235" s="23" t="s">
        <v>165</v>
      </c>
      <c r="K235" s="23" t="s">
        <v>171</v>
      </c>
      <c r="L235" s="23" t="n">
        <v>2</v>
      </c>
      <c r="M235" s="23" t="n">
        <v>28</v>
      </c>
      <c r="N235" s="23" t="s">
        <v>151</v>
      </c>
      <c r="O235" s="23"/>
      <c r="P235" s="23" t="s">
        <v>91</v>
      </c>
      <c r="Q235" s="25"/>
      <c r="R235" s="26" t="n">
        <f aca="false">IF(N(I235)=0,"",IF(OR(J235="mg/m²",J235="mg/m²/day"),I235*계산기!$C$14,IF(J235="mg/kg",I235*계산기!$C$6,IF(J235="AUC",I235*(계산기!$C$16+25),IF(J235="mg",I235,"")))))</f>
        <v>620</v>
      </c>
      <c r="S235" s="26" t="n">
        <f aca="false">IF(OR(R235="",L235=""),"",R235*L235)</f>
        <v>1240</v>
      </c>
      <c r="T235" s="27" t="s">
        <v>92</v>
      </c>
      <c r="U235" s="28" t="s">
        <v>93</v>
      </c>
    </row>
    <row r="236" customFormat="false" ht="15" hidden="false" customHeight="false" outlineLevel="0" collapsed="false">
      <c r="A236" s="23"/>
      <c r="B236" s="23"/>
      <c r="C236" s="25"/>
      <c r="D236" s="25"/>
      <c r="E236" s="23"/>
      <c r="F236" s="23"/>
      <c r="G236" s="25" t="s">
        <v>326</v>
      </c>
      <c r="H236" s="23" t="s">
        <v>106</v>
      </c>
      <c r="I236" s="23" t="n">
        <v>5</v>
      </c>
      <c r="J236" s="23" t="s">
        <v>107</v>
      </c>
      <c r="K236" s="23" t="s">
        <v>145</v>
      </c>
      <c r="L236" s="23" t="n">
        <v>2</v>
      </c>
      <c r="M236" s="23" t="n">
        <v>1</v>
      </c>
      <c r="N236" s="23" t="s">
        <v>136</v>
      </c>
      <c r="O236" s="29" t="s">
        <v>137</v>
      </c>
      <c r="P236" s="23" t="s">
        <v>138</v>
      </c>
      <c r="Q236" s="25"/>
      <c r="R236" s="26" t="n">
        <f aca="false">IF(N(I236)=0,"",IF(OR(J236="mg/m²",J236="mg/m²/day"),I236*계산기!$C$14,IF(J236="mg/kg",I236*계산기!$C$6,IF(J236="AUC",I236*(계산기!$C$16+25),IF(J236="mg",I236,"")))))</f>
        <v>5</v>
      </c>
      <c r="S236" s="26" t="n">
        <f aca="false">IF(OR(R236="",L236=""),"",R236*L236)</f>
        <v>10</v>
      </c>
      <c r="T236" s="27"/>
      <c r="U236" s="28"/>
    </row>
    <row r="237" customFormat="false" ht="15" hidden="false" customHeight="false" outlineLevel="0" collapsed="false">
      <c r="A237" s="23" t="s">
        <v>627</v>
      </c>
      <c r="B237" s="23" t="n">
        <v>13</v>
      </c>
      <c r="C237" s="24" t="s">
        <v>318</v>
      </c>
      <c r="D237" s="25" t="s">
        <v>628</v>
      </c>
      <c r="E237" s="23" t="s">
        <v>99</v>
      </c>
      <c r="F237" s="23" t="s">
        <v>112</v>
      </c>
      <c r="G237" s="25" t="s">
        <v>189</v>
      </c>
      <c r="H237" s="23" t="s">
        <v>106</v>
      </c>
      <c r="I237" s="23" t="n">
        <v>18</v>
      </c>
      <c r="J237" s="23" t="s">
        <v>107</v>
      </c>
      <c r="K237" s="29" t="s">
        <v>135</v>
      </c>
      <c r="L237" s="23" t="n">
        <v>1</v>
      </c>
      <c r="M237" s="23" t="n">
        <v>1</v>
      </c>
      <c r="N237" s="23" t="s">
        <v>136</v>
      </c>
      <c r="O237" s="29" t="s">
        <v>137</v>
      </c>
      <c r="P237" s="23" t="s">
        <v>138</v>
      </c>
      <c r="Q237" s="25"/>
      <c r="R237" s="26" t="n">
        <f aca="false">IF(N(I237)=0,"",IF(OR(J237="mg/m²",J237="mg/m²/day"),I237*계산기!$C$14,IF(J237="mg/kg",I237*계산기!$C$6,IF(J237="AUC",I237*(계산기!$C$16+25),IF(J237="mg",I237,"")))))</f>
        <v>18</v>
      </c>
      <c r="S237" s="26" t="n">
        <f aca="false">IF(OR(R237="",L237=""),"",R237*L237)</f>
        <v>18</v>
      </c>
      <c r="T237" s="27" t="s">
        <v>92</v>
      </c>
      <c r="U237" s="28" t="s">
        <v>93</v>
      </c>
    </row>
    <row r="238" customFormat="false" ht="15" hidden="false" customHeight="false" outlineLevel="0" collapsed="false">
      <c r="A238" s="23"/>
      <c r="B238" s="23"/>
      <c r="C238" s="25"/>
      <c r="D238" s="25"/>
      <c r="E238" s="23"/>
      <c r="F238" s="23"/>
      <c r="G238" s="25" t="s">
        <v>373</v>
      </c>
      <c r="H238" s="23" t="s">
        <v>106</v>
      </c>
      <c r="I238" s="23" t="n">
        <v>5</v>
      </c>
      <c r="J238" s="23" t="s">
        <v>107</v>
      </c>
      <c r="K238" s="29" t="s">
        <v>135</v>
      </c>
      <c r="L238" s="23" t="n">
        <v>1</v>
      </c>
      <c r="M238" s="23" t="n">
        <v>1</v>
      </c>
      <c r="N238" s="23" t="s">
        <v>136</v>
      </c>
      <c r="O238" s="29" t="s">
        <v>137</v>
      </c>
      <c r="P238" s="23" t="s">
        <v>138</v>
      </c>
      <c r="Q238" s="25"/>
      <c r="R238" s="26" t="n">
        <f aca="false">IF(N(I238)=0,"",IF(OR(J238="mg/m²",J238="mg/m²/day"),I238*계산기!$C$14,IF(J238="mg/kg",I238*계산기!$C$6,IF(J238="AUC",I238*(계산기!$C$16+25),IF(J238="mg",I238,"")))))</f>
        <v>5</v>
      </c>
      <c r="S238" s="26" t="n">
        <f aca="false">IF(OR(R238="",L238=""),"",R238*L238)</f>
        <v>5</v>
      </c>
      <c r="T238" s="27"/>
      <c r="U238" s="28"/>
    </row>
    <row r="239" customFormat="false" ht="15" hidden="false" customHeight="false" outlineLevel="0" collapsed="false">
      <c r="A239" s="23" t="s">
        <v>629</v>
      </c>
      <c r="B239" s="23" t="n">
        <v>13</v>
      </c>
      <c r="C239" s="24" t="s">
        <v>318</v>
      </c>
      <c r="D239" s="25" t="s">
        <v>630</v>
      </c>
      <c r="E239" s="23" t="s">
        <v>99</v>
      </c>
      <c r="F239" s="23" t="s">
        <v>169</v>
      </c>
      <c r="G239" s="25" t="s">
        <v>401</v>
      </c>
      <c r="H239" s="23" t="s">
        <v>106</v>
      </c>
      <c r="I239" s="23" t="n">
        <v>240</v>
      </c>
      <c r="J239" s="23" t="s">
        <v>107</v>
      </c>
      <c r="K239" s="23" t="s">
        <v>95</v>
      </c>
      <c r="L239" s="23" t="n">
        <v>1</v>
      </c>
      <c r="M239" s="23" t="n">
        <v>14</v>
      </c>
      <c r="N239" s="23" t="s">
        <v>151</v>
      </c>
      <c r="O239" s="23"/>
      <c r="P239" s="23" t="s">
        <v>91</v>
      </c>
      <c r="Q239" s="25" t="s">
        <v>610</v>
      </c>
      <c r="R239" s="26" t="n">
        <f aca="false">IF(N(I239)=0,"",IF(OR(J239="mg/m²",J239="mg/m²/day"),I239*계산기!$C$14,IF(J239="mg/kg",I239*계산기!$C$6,IF(J239="AUC",I239*(계산기!$C$16+25),IF(J239="mg",I239,"")))))</f>
        <v>240</v>
      </c>
      <c r="S239" s="26" t="n">
        <f aca="false">IF(OR(R239="",L239=""),"",R239*L239)</f>
        <v>240</v>
      </c>
      <c r="T239" s="27" t="s">
        <v>92</v>
      </c>
      <c r="U239" s="28" t="s">
        <v>93</v>
      </c>
    </row>
    <row r="240" customFormat="false" ht="15" hidden="false" customHeight="false" outlineLevel="0" collapsed="false">
      <c r="A240" s="23" t="s">
        <v>631</v>
      </c>
      <c r="B240" s="23" t="n">
        <v>7.2</v>
      </c>
      <c r="C240" s="24" t="s">
        <v>216</v>
      </c>
      <c r="D240" s="25" t="s">
        <v>632</v>
      </c>
      <c r="E240" s="23" t="s">
        <v>99</v>
      </c>
      <c r="F240" s="23" t="s">
        <v>85</v>
      </c>
      <c r="G240" s="25" t="s">
        <v>131</v>
      </c>
      <c r="H240" s="23" t="s">
        <v>106</v>
      </c>
      <c r="I240" s="23" t="n">
        <v>200</v>
      </c>
      <c r="J240" s="23" t="s">
        <v>107</v>
      </c>
      <c r="K240" s="23" t="s">
        <v>95</v>
      </c>
      <c r="L240" s="23" t="n">
        <v>1</v>
      </c>
      <c r="M240" s="23" t="n">
        <v>21</v>
      </c>
      <c r="N240" s="23" t="s">
        <v>90</v>
      </c>
      <c r="O240" s="23"/>
      <c r="P240" s="23" t="s">
        <v>91</v>
      </c>
      <c r="Q240" s="25" t="s">
        <v>633</v>
      </c>
      <c r="R240" s="26" t="n">
        <f aca="false">IF(N(I240)=0,"",IF(OR(J240="mg/m²",J240="mg/m²/day"),I240*계산기!$C$14,IF(J240="mg/kg",I240*계산기!$C$6,IF(J240="AUC",I240*(계산기!$C$16+25),IF(J240="mg",I240,"")))))</f>
        <v>200</v>
      </c>
      <c r="S240" s="26" t="n">
        <f aca="false">IF(OR(R240="",L240=""),"",R240*L240)</f>
        <v>200</v>
      </c>
      <c r="T240" s="27" t="s">
        <v>92</v>
      </c>
      <c r="U240" s="28" t="s">
        <v>93</v>
      </c>
    </row>
    <row r="241" customFormat="false" ht="15" hidden="false" customHeight="false" outlineLevel="0" collapsed="false">
      <c r="A241" s="23"/>
      <c r="B241" s="23"/>
      <c r="C241" s="25"/>
      <c r="D241" s="25"/>
      <c r="E241" s="23"/>
      <c r="F241" s="23"/>
      <c r="G241" s="25" t="s">
        <v>125</v>
      </c>
      <c r="H241" s="23" t="s">
        <v>87</v>
      </c>
      <c r="I241" s="23" t="n">
        <v>1000</v>
      </c>
      <c r="J241" s="23" t="s">
        <v>88</v>
      </c>
      <c r="K241" s="23" t="s">
        <v>126</v>
      </c>
      <c r="L241" s="23" t="n">
        <v>2</v>
      </c>
      <c r="M241" s="23" t="n">
        <v>21</v>
      </c>
      <c r="N241" s="23" t="s">
        <v>90</v>
      </c>
      <c r="O241" s="23"/>
      <c r="P241" s="23" t="s">
        <v>91</v>
      </c>
      <c r="Q241" s="25"/>
      <c r="R241" s="26" t="n">
        <f aca="false">IF(N(I241)=0,"",IF(OR(J241="mg/m²",J241="mg/m²/day"),I241*계산기!$C$14,IF(J241="mg/kg",I241*계산기!$C$6,IF(J241="AUC",I241*(계산기!$C$16+25),IF(J241="mg",I241,"")))))</f>
        <v>1685.72437446537</v>
      </c>
      <c r="S241" s="26" t="n">
        <f aca="false">IF(OR(R241="",L241=""),"",R241*L241)</f>
        <v>3371.44874893074</v>
      </c>
      <c r="T241" s="27"/>
      <c r="U241" s="28"/>
    </row>
    <row r="242" customFormat="false" ht="15" hidden="false" customHeight="false" outlineLevel="0" collapsed="false">
      <c r="A242" s="23"/>
      <c r="B242" s="23"/>
      <c r="C242" s="25"/>
      <c r="D242" s="25"/>
      <c r="E242" s="23"/>
      <c r="F242" s="23"/>
      <c r="G242" s="25" t="s">
        <v>94</v>
      </c>
      <c r="H242" s="23" t="s">
        <v>87</v>
      </c>
      <c r="I242" s="23" t="n">
        <v>25</v>
      </c>
      <c r="J242" s="23" t="s">
        <v>88</v>
      </c>
      <c r="K242" s="23" t="s">
        <v>126</v>
      </c>
      <c r="L242" s="23" t="n">
        <v>2</v>
      </c>
      <c r="M242" s="23" t="n">
        <v>21</v>
      </c>
      <c r="N242" s="23" t="s">
        <v>90</v>
      </c>
      <c r="O242" s="23"/>
      <c r="P242" s="23" t="s">
        <v>91</v>
      </c>
      <c r="Q242" s="25"/>
      <c r="R242" s="26" t="n">
        <f aca="false">IF(N(I242)=0,"",IF(OR(J242="mg/m²",J242="mg/m²/day"),I242*계산기!$C$14,IF(J242="mg/kg",I242*계산기!$C$6,IF(J242="AUC",I242*(계산기!$C$16+25),IF(J242="mg",I242,"")))))</f>
        <v>42.1431093616343</v>
      </c>
      <c r="S242" s="26" t="n">
        <f aca="false">IF(OR(R242="",L242=""),"",R242*L242)</f>
        <v>84.2862187232686</v>
      </c>
      <c r="T242" s="27"/>
      <c r="U242" s="28"/>
    </row>
    <row r="243" customFormat="false" ht="15" hidden="false" customHeight="false" outlineLevel="0" collapsed="false">
      <c r="A243" s="23" t="s">
        <v>634</v>
      </c>
      <c r="B243" s="23" t="n">
        <v>7.2</v>
      </c>
      <c r="C243" s="24" t="s">
        <v>216</v>
      </c>
      <c r="D243" s="25" t="s">
        <v>635</v>
      </c>
      <c r="E243" s="23" t="s">
        <v>99</v>
      </c>
      <c r="F243" s="23" t="s">
        <v>169</v>
      </c>
      <c r="G243" s="25" t="s">
        <v>150</v>
      </c>
      <c r="H243" s="23" t="s">
        <v>87</v>
      </c>
      <c r="I243" s="23" t="n">
        <v>85</v>
      </c>
      <c r="J243" s="23" t="s">
        <v>88</v>
      </c>
      <c r="K243" s="23" t="s">
        <v>95</v>
      </c>
      <c r="L243" s="23" t="n">
        <v>1</v>
      </c>
      <c r="M243" s="23" t="n">
        <v>14</v>
      </c>
      <c r="N243" s="23" t="s">
        <v>151</v>
      </c>
      <c r="O243" s="23"/>
      <c r="P243" s="23" t="s">
        <v>91</v>
      </c>
      <c r="Q243" s="25" t="s">
        <v>636</v>
      </c>
      <c r="R243" s="26" t="n">
        <f aca="false">IF(N(I243)=0,"",IF(OR(J243="mg/m²",J243="mg/m²/day"),I243*계산기!$C$14,IF(J243="mg/kg",I243*계산기!$C$6,IF(J243="AUC",I243*(계산기!$C$16+25),IF(J243="mg",I243,"")))))</f>
        <v>143.286571829557</v>
      </c>
      <c r="S243" s="26" t="n">
        <f aca="false">IF(OR(R243="",L243=""),"",R243*L243)</f>
        <v>143.286571829557</v>
      </c>
      <c r="T243" s="27" t="s">
        <v>92</v>
      </c>
      <c r="U243" s="28" t="s">
        <v>93</v>
      </c>
    </row>
    <row r="244" customFormat="false" ht="15" hidden="false" customHeight="false" outlineLevel="0" collapsed="false">
      <c r="A244" s="23"/>
      <c r="B244" s="23"/>
      <c r="C244" s="25"/>
      <c r="D244" s="25"/>
      <c r="E244" s="23"/>
      <c r="F244" s="23"/>
      <c r="G244" s="25" t="s">
        <v>152</v>
      </c>
      <c r="H244" s="23" t="s">
        <v>87</v>
      </c>
      <c r="I244" s="23" t="n">
        <v>400</v>
      </c>
      <c r="J244" s="23" t="s">
        <v>88</v>
      </c>
      <c r="K244" s="23" t="s">
        <v>95</v>
      </c>
      <c r="L244" s="23" t="n">
        <v>1</v>
      </c>
      <c r="M244" s="23" t="n">
        <v>14</v>
      </c>
      <c r="N244" s="23" t="s">
        <v>151</v>
      </c>
      <c r="O244" s="23"/>
      <c r="P244" s="23" t="s">
        <v>91</v>
      </c>
      <c r="Q244" s="25"/>
      <c r="R244" s="26" t="n">
        <f aca="false">IF(N(I244)=0,"",IF(OR(J244="mg/m²",J244="mg/m²/day"),I244*계산기!$C$14,IF(J244="mg/kg",I244*계산기!$C$6,IF(J244="AUC",I244*(계산기!$C$16+25),IF(J244="mg",I244,"")))))</f>
        <v>674.289749786149</v>
      </c>
      <c r="S244" s="26" t="n">
        <f aca="false">IF(OR(R244="",L244=""),"",R244*L244)</f>
        <v>674.289749786149</v>
      </c>
      <c r="T244" s="27"/>
      <c r="U244" s="28"/>
    </row>
    <row r="245" customFormat="false" ht="15" hidden="false" customHeight="false" outlineLevel="0" collapsed="false">
      <c r="A245" s="23"/>
      <c r="B245" s="23"/>
      <c r="C245" s="25"/>
      <c r="D245" s="25"/>
      <c r="E245" s="23"/>
      <c r="F245" s="23"/>
      <c r="G245" s="25" t="s">
        <v>154</v>
      </c>
      <c r="H245" s="23" t="s">
        <v>87</v>
      </c>
      <c r="I245" s="23" t="n">
        <v>2400</v>
      </c>
      <c r="J245" s="23" t="s">
        <v>88</v>
      </c>
      <c r="K245" s="23" t="s">
        <v>155</v>
      </c>
      <c r="L245" s="23" t="n">
        <v>1</v>
      </c>
      <c r="M245" s="23" t="n">
        <v>14</v>
      </c>
      <c r="N245" s="23" t="s">
        <v>151</v>
      </c>
      <c r="O245" s="23"/>
      <c r="P245" s="23" t="s">
        <v>91</v>
      </c>
      <c r="Q245" s="25"/>
      <c r="R245" s="26" t="n">
        <f aca="false">IF(N(I245)=0,"",IF(OR(J245="mg/m²",J245="mg/m²/day"),I245*계산기!$C$14,IF(J245="mg/kg",I245*계산기!$C$6,IF(J245="AUC",I245*(계산기!$C$16+25),IF(J245="mg",I245,"")))))</f>
        <v>4045.73849871689</v>
      </c>
      <c r="S245" s="26" t="n">
        <f aca="false">IF(OR(R245="",L245=""),"",R245*L245)</f>
        <v>4045.73849871689</v>
      </c>
      <c r="T245" s="27"/>
      <c r="U245" s="28"/>
    </row>
    <row r="246" customFormat="false" ht="15" hidden="false" customHeight="false" outlineLevel="0" collapsed="false">
      <c r="A246" s="23" t="s">
        <v>637</v>
      </c>
      <c r="B246" s="23" t="n">
        <v>7.2</v>
      </c>
      <c r="C246" s="24" t="s">
        <v>216</v>
      </c>
      <c r="D246" s="25" t="s">
        <v>541</v>
      </c>
      <c r="E246" s="23" t="s">
        <v>253</v>
      </c>
      <c r="F246" s="29" t="s">
        <v>254</v>
      </c>
      <c r="G246" s="25" t="s">
        <v>159</v>
      </c>
      <c r="H246" s="23" t="s">
        <v>87</v>
      </c>
      <c r="I246" s="23" t="n">
        <v>1250</v>
      </c>
      <c r="J246" s="23" t="s">
        <v>88</v>
      </c>
      <c r="K246" s="23" t="s">
        <v>160</v>
      </c>
      <c r="L246" s="23" t="n">
        <v>2</v>
      </c>
      <c r="M246" s="23" t="n">
        <v>21</v>
      </c>
      <c r="N246" s="23" t="s">
        <v>90</v>
      </c>
      <c r="O246" s="23" t="n">
        <v>8</v>
      </c>
      <c r="P246" s="23" t="s">
        <v>138</v>
      </c>
      <c r="Q246" s="25" t="s">
        <v>638</v>
      </c>
      <c r="R246" s="26" t="n">
        <f aca="false">IF(N(I246)=0,"",IF(OR(J246="mg/m²",J246="mg/m²/day"),I246*계산기!$C$14,IF(J246="mg/kg",I246*계산기!$C$6,IF(J246="AUC",I246*(계산기!$C$16+25),IF(J246="mg",I246,"")))))</f>
        <v>2107.15546808171</v>
      </c>
      <c r="S246" s="26" t="n">
        <f aca="false">IF(OR(R246="",L246=""),"",R246*L246)</f>
        <v>4214.31093616343</v>
      </c>
      <c r="T246" s="27" t="s">
        <v>92</v>
      </c>
      <c r="U246" s="28" t="s">
        <v>93</v>
      </c>
    </row>
    <row r="247" customFormat="false" ht="22.35" hidden="false" customHeight="false" outlineLevel="0" collapsed="false">
      <c r="A247" s="23" t="s">
        <v>639</v>
      </c>
      <c r="B247" s="23" t="n">
        <v>7.2</v>
      </c>
      <c r="C247" s="24" t="s">
        <v>216</v>
      </c>
      <c r="D247" s="25" t="s">
        <v>538</v>
      </c>
      <c r="E247" s="23" t="s">
        <v>99</v>
      </c>
      <c r="F247" s="23" t="s">
        <v>112</v>
      </c>
      <c r="G247" s="25" t="s">
        <v>131</v>
      </c>
      <c r="H247" s="23" t="s">
        <v>106</v>
      </c>
      <c r="I247" s="23" t="n">
        <v>200</v>
      </c>
      <c r="J247" s="23" t="s">
        <v>107</v>
      </c>
      <c r="K247" s="23" t="s">
        <v>95</v>
      </c>
      <c r="L247" s="23" t="n">
        <v>1</v>
      </c>
      <c r="M247" s="23" t="n">
        <v>21</v>
      </c>
      <c r="N247" s="23" t="s">
        <v>90</v>
      </c>
      <c r="O247" s="23"/>
      <c r="P247" s="23" t="s">
        <v>91</v>
      </c>
      <c r="Q247" s="25" t="s">
        <v>640</v>
      </c>
      <c r="R247" s="26" t="n">
        <f aca="false">IF(N(I247)=0,"",IF(OR(J247="mg/m²",J247="mg/m²/day"),I247*계산기!$C$14,IF(J247="mg/kg",I247*계산기!$C$6,IF(J247="AUC",I247*(계산기!$C$16+25),IF(J247="mg",I247,"")))))</f>
        <v>200</v>
      </c>
      <c r="S247" s="26" t="n">
        <f aca="false">IF(OR(R247="",L247=""),"",R247*L247)</f>
        <v>200</v>
      </c>
      <c r="T247" s="27" t="s">
        <v>92</v>
      </c>
      <c r="U247" s="28" t="s">
        <v>93</v>
      </c>
    </row>
    <row r="248" customFormat="false" ht="24.6" hidden="false" customHeight="false" outlineLevel="0" collapsed="false">
      <c r="A248" s="23" t="s">
        <v>641</v>
      </c>
      <c r="B248" s="23" t="n">
        <v>16</v>
      </c>
      <c r="C248" s="24" t="s">
        <v>352</v>
      </c>
      <c r="D248" s="25" t="s">
        <v>642</v>
      </c>
      <c r="E248" s="23" t="s">
        <v>99</v>
      </c>
      <c r="F248" s="29" t="s">
        <v>643</v>
      </c>
      <c r="G248" s="25" t="s">
        <v>131</v>
      </c>
      <c r="H248" s="23" t="s">
        <v>106</v>
      </c>
      <c r="I248" s="23" t="n">
        <v>200</v>
      </c>
      <c r="J248" s="23" t="s">
        <v>107</v>
      </c>
      <c r="K248" s="23" t="s">
        <v>95</v>
      </c>
      <c r="L248" s="23" t="n">
        <v>1</v>
      </c>
      <c r="M248" s="23" t="n">
        <v>21</v>
      </c>
      <c r="N248" s="23" t="s">
        <v>90</v>
      </c>
      <c r="O248" s="23"/>
      <c r="P248" s="23" t="s">
        <v>91</v>
      </c>
      <c r="Q248" s="25" t="s">
        <v>644</v>
      </c>
      <c r="R248" s="26" t="n">
        <f aca="false">IF(N(I248)=0,"",IF(OR(J248="mg/m²",J248="mg/m²/day"),I248*계산기!$C$14,IF(J248="mg/kg",I248*계산기!$C$6,IF(J248="AUC",I248*(계산기!$C$16+25),IF(J248="mg",I248,"")))))</f>
        <v>200</v>
      </c>
      <c r="S248" s="26" t="n">
        <f aca="false">IF(OR(R248="",L248=""),"",R248*L248)</f>
        <v>200</v>
      </c>
      <c r="T248" s="27" t="s">
        <v>92</v>
      </c>
      <c r="U248" s="28" t="s">
        <v>93</v>
      </c>
    </row>
    <row r="249" customFormat="false" ht="24.6" hidden="false" customHeight="false" outlineLevel="0" collapsed="false">
      <c r="A249" s="23" t="s">
        <v>645</v>
      </c>
      <c r="B249" s="23" t="n">
        <v>4</v>
      </c>
      <c r="C249" s="24" t="s">
        <v>175</v>
      </c>
      <c r="D249" s="25" t="s">
        <v>646</v>
      </c>
      <c r="E249" s="23" t="s">
        <v>99</v>
      </c>
      <c r="F249" s="23" t="s">
        <v>647</v>
      </c>
      <c r="G249" s="25" t="s">
        <v>131</v>
      </c>
      <c r="H249" s="23" t="s">
        <v>106</v>
      </c>
      <c r="I249" s="23" t="n">
        <v>200</v>
      </c>
      <c r="J249" s="23" t="s">
        <v>107</v>
      </c>
      <c r="K249" s="23" t="s">
        <v>95</v>
      </c>
      <c r="L249" s="23" t="n">
        <v>1</v>
      </c>
      <c r="M249" s="23" t="n">
        <v>21</v>
      </c>
      <c r="N249" s="23" t="s">
        <v>90</v>
      </c>
      <c r="O249" s="23"/>
      <c r="P249" s="23" t="s">
        <v>91</v>
      </c>
      <c r="Q249" s="25" t="s">
        <v>648</v>
      </c>
      <c r="R249" s="26" t="n">
        <f aca="false">IF(N(I249)=0,"",IF(OR(J249="mg/m²",J249="mg/m²/day"),I249*계산기!$C$14,IF(J249="mg/kg",I249*계산기!$C$6,IF(J249="AUC",I249*(계산기!$C$16+25),IF(J249="mg",I249,"")))))</f>
        <v>200</v>
      </c>
      <c r="S249" s="26" t="n">
        <f aca="false">IF(OR(R249="",L249=""),"",R249*L249)</f>
        <v>200</v>
      </c>
      <c r="T249" s="27" t="s">
        <v>92</v>
      </c>
      <c r="U249" s="28" t="s">
        <v>93</v>
      </c>
    </row>
    <row r="250" customFormat="false" ht="15" hidden="false" customHeight="false" outlineLevel="0" collapsed="false">
      <c r="A250" s="23" t="s">
        <v>649</v>
      </c>
      <c r="B250" s="23" t="n">
        <v>11</v>
      </c>
      <c r="C250" s="24" t="s">
        <v>297</v>
      </c>
      <c r="D250" s="25" t="s">
        <v>650</v>
      </c>
      <c r="E250" s="23" t="s">
        <v>99</v>
      </c>
      <c r="F250" s="23" t="s">
        <v>651</v>
      </c>
      <c r="G250" s="25" t="s">
        <v>131</v>
      </c>
      <c r="H250" s="23" t="s">
        <v>106</v>
      </c>
      <c r="I250" s="23" t="n">
        <v>200</v>
      </c>
      <c r="J250" s="23" t="s">
        <v>107</v>
      </c>
      <c r="K250" s="23" t="s">
        <v>95</v>
      </c>
      <c r="L250" s="23" t="n">
        <v>1</v>
      </c>
      <c r="M250" s="23" t="n">
        <v>21</v>
      </c>
      <c r="N250" s="23" t="s">
        <v>90</v>
      </c>
      <c r="O250" s="23"/>
      <c r="P250" s="23" t="s">
        <v>91</v>
      </c>
      <c r="Q250" s="25" t="s">
        <v>652</v>
      </c>
      <c r="R250" s="26" t="n">
        <f aca="false">IF(N(I250)=0,"",IF(OR(J250="mg/m²",J250="mg/m²/day"),I250*계산기!$C$14,IF(J250="mg/kg",I250*계산기!$C$6,IF(J250="AUC",I250*(계산기!$C$16+25),IF(J250="mg",I250,"")))))</f>
        <v>200</v>
      </c>
      <c r="S250" s="26" t="n">
        <f aca="false">IF(OR(R250="",L250=""),"",R250*L250)</f>
        <v>200</v>
      </c>
      <c r="T250" s="27" t="s">
        <v>92</v>
      </c>
      <c r="U250" s="28" t="s">
        <v>93</v>
      </c>
    </row>
    <row r="251" customFormat="false" ht="22.35" hidden="false" customHeight="false" outlineLevel="0" collapsed="false">
      <c r="A251" s="23" t="s">
        <v>653</v>
      </c>
      <c r="B251" s="23" t="n">
        <v>12</v>
      </c>
      <c r="C251" s="24" t="s">
        <v>308</v>
      </c>
      <c r="D251" s="25" t="s">
        <v>654</v>
      </c>
      <c r="E251" s="23" t="s">
        <v>99</v>
      </c>
      <c r="F251" s="23" t="s">
        <v>655</v>
      </c>
      <c r="G251" s="25" t="s">
        <v>131</v>
      </c>
      <c r="H251" s="23" t="s">
        <v>106</v>
      </c>
      <c r="I251" s="23" t="n">
        <v>200</v>
      </c>
      <c r="J251" s="23" t="s">
        <v>107</v>
      </c>
      <c r="K251" s="23" t="s">
        <v>95</v>
      </c>
      <c r="L251" s="23" t="n">
        <v>1</v>
      </c>
      <c r="M251" s="23" t="n">
        <v>21</v>
      </c>
      <c r="N251" s="23" t="s">
        <v>90</v>
      </c>
      <c r="O251" s="23"/>
      <c r="P251" s="23" t="s">
        <v>91</v>
      </c>
      <c r="Q251" s="25" t="s">
        <v>656</v>
      </c>
      <c r="R251" s="26" t="n">
        <f aca="false">IF(N(I251)=0,"",IF(OR(J251="mg/m²",J251="mg/m²/day"),I251*계산기!$C$14,IF(J251="mg/kg",I251*계산기!$C$6,IF(J251="AUC",I251*(계산기!$C$16+25),IF(J251="mg",I251,"")))))</f>
        <v>200</v>
      </c>
      <c r="S251" s="26" t="n">
        <f aca="false">IF(OR(R251="",L251=""),"",R251*L251)</f>
        <v>200</v>
      </c>
      <c r="T251" s="27" t="s">
        <v>92</v>
      </c>
      <c r="U251" s="28" t="s">
        <v>93</v>
      </c>
    </row>
    <row r="252" customFormat="false" ht="15" hidden="false" customHeight="false" outlineLevel="0" collapsed="false">
      <c r="A252" s="23"/>
      <c r="B252" s="23"/>
      <c r="C252" s="25"/>
      <c r="D252" s="25"/>
      <c r="E252" s="23"/>
      <c r="F252" s="23"/>
      <c r="G252" s="25" t="s">
        <v>189</v>
      </c>
      <c r="H252" s="23" t="s">
        <v>106</v>
      </c>
      <c r="I252" s="23" t="n">
        <v>20</v>
      </c>
      <c r="J252" s="23" t="s">
        <v>107</v>
      </c>
      <c r="K252" s="29" t="s">
        <v>135</v>
      </c>
      <c r="L252" s="23" t="n">
        <v>1</v>
      </c>
      <c r="M252" s="23" t="n">
        <v>1</v>
      </c>
      <c r="N252" s="23" t="s">
        <v>136</v>
      </c>
      <c r="O252" s="29" t="s">
        <v>137</v>
      </c>
      <c r="P252" s="23" t="s">
        <v>138</v>
      </c>
      <c r="Q252" s="25"/>
      <c r="R252" s="26" t="n">
        <f aca="false">IF(N(I252)=0,"",IF(OR(J252="mg/m²",J252="mg/m²/day"),I252*계산기!$C$14,IF(J252="mg/kg",I252*계산기!$C$6,IF(J252="AUC",I252*(계산기!$C$16+25),IF(J252="mg",I252,"")))))</f>
        <v>20</v>
      </c>
      <c r="S252" s="26" t="n">
        <f aca="false">IF(OR(R252="",L252=""),"",R252*L252)</f>
        <v>20</v>
      </c>
      <c r="T252" s="27"/>
      <c r="U252" s="28"/>
    </row>
  </sheetData>
  <autoFilter ref="A1:U2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2"/>
  </cols>
  <sheetData>
    <row r="2" customFormat="false" ht="20.1" hidden="false" customHeight="false" outlineLevel="0" collapsed="false">
      <c r="B2" s="31" t="s">
        <v>657</v>
      </c>
    </row>
    <row r="4" customFormat="false" ht="15" hidden="false" customHeight="false" outlineLevel="0" collapsed="false">
      <c r="B4" s="21" t="s">
        <v>61</v>
      </c>
      <c r="C4" s="21" t="s">
        <v>658</v>
      </c>
      <c r="D4" s="22" t="s">
        <v>659</v>
      </c>
    </row>
    <row r="5" customFormat="false" ht="15" hidden="false" customHeight="false" outlineLevel="0" collapsed="false">
      <c r="B5" s="32" t="s">
        <v>87</v>
      </c>
      <c r="C5" s="33" t="s">
        <v>82</v>
      </c>
      <c r="D5" s="34" t="s">
        <v>660</v>
      </c>
    </row>
    <row r="6" customFormat="false" ht="15" hidden="false" customHeight="false" outlineLevel="0" collapsed="false">
      <c r="B6" s="32" t="s">
        <v>106</v>
      </c>
      <c r="C6" s="33" t="s">
        <v>115</v>
      </c>
      <c r="D6" s="34" t="s">
        <v>660</v>
      </c>
    </row>
    <row r="7" customFormat="false" ht="15" hidden="false" customHeight="false" outlineLevel="0" collapsed="false">
      <c r="B7" s="32" t="s">
        <v>661</v>
      </c>
      <c r="C7" s="33" t="s">
        <v>148</v>
      </c>
      <c r="D7" s="34" t="s">
        <v>660</v>
      </c>
    </row>
    <row r="8" customFormat="false" ht="15" hidden="false" customHeight="false" outlineLevel="0" collapsed="false">
      <c r="B8" s="32" t="s">
        <v>662</v>
      </c>
      <c r="C8" s="33" t="s">
        <v>175</v>
      </c>
      <c r="D8" s="34" t="s">
        <v>660</v>
      </c>
    </row>
    <row r="9" customFormat="false" ht="15" hidden="false" customHeight="false" outlineLevel="0" collapsed="false">
      <c r="B9" s="32" t="s">
        <v>663</v>
      </c>
      <c r="C9" s="33" t="s">
        <v>188</v>
      </c>
      <c r="D9" s="34" t="s">
        <v>660</v>
      </c>
    </row>
    <row r="10" customFormat="false" ht="15" hidden="false" customHeight="false" outlineLevel="0" collapsed="false">
      <c r="B10" s="32" t="s">
        <v>664</v>
      </c>
      <c r="C10" s="33" t="s">
        <v>194</v>
      </c>
      <c r="D10" s="34" t="s">
        <v>660</v>
      </c>
    </row>
    <row r="11" customFormat="false" ht="15" hidden="false" customHeight="false" outlineLevel="0" collapsed="false">
      <c r="B11" s="32" t="s">
        <v>665</v>
      </c>
      <c r="C11" s="33" t="s">
        <v>205</v>
      </c>
      <c r="D11" s="34" t="s">
        <v>660</v>
      </c>
    </row>
    <row r="12" customFormat="false" ht="15" hidden="false" customHeight="false" outlineLevel="0" collapsed="false">
      <c r="B12" s="32" t="s">
        <v>666</v>
      </c>
      <c r="C12" s="33" t="s">
        <v>216</v>
      </c>
      <c r="D12" s="34" t="s">
        <v>660</v>
      </c>
    </row>
    <row r="13" customFormat="false" ht="15" hidden="false" customHeight="false" outlineLevel="0" collapsed="false">
      <c r="B13" s="32" t="s">
        <v>667</v>
      </c>
      <c r="C13" s="33" t="s">
        <v>226</v>
      </c>
      <c r="D13" s="34" t="s">
        <v>660</v>
      </c>
    </row>
    <row r="14" customFormat="false" ht="15" hidden="false" customHeight="false" outlineLevel="0" collapsed="false">
      <c r="B14" s="32" t="s">
        <v>668</v>
      </c>
      <c r="C14" s="33" t="s">
        <v>242</v>
      </c>
      <c r="D14" s="34" t="s">
        <v>660</v>
      </c>
    </row>
    <row r="15" customFormat="false" ht="15" hidden="false" customHeight="false" outlineLevel="0" collapsed="false">
      <c r="B15" s="32" t="s">
        <v>669</v>
      </c>
      <c r="C15" s="33" t="s">
        <v>670</v>
      </c>
      <c r="D15" s="34" t="s">
        <v>660</v>
      </c>
    </row>
    <row r="16" customFormat="false" ht="15" hidden="false" customHeight="false" outlineLevel="0" collapsed="false">
      <c r="B16" s="32" t="s">
        <v>671</v>
      </c>
      <c r="C16" s="33" t="s">
        <v>297</v>
      </c>
      <c r="D16" s="34" t="s">
        <v>660</v>
      </c>
    </row>
    <row r="17" customFormat="false" ht="15" hidden="false" customHeight="false" outlineLevel="0" collapsed="false">
      <c r="B17" s="32" t="s">
        <v>672</v>
      </c>
      <c r="C17" s="33" t="s">
        <v>308</v>
      </c>
      <c r="D17" s="34" t="s">
        <v>660</v>
      </c>
    </row>
    <row r="18" customFormat="false" ht="15" hidden="false" customHeight="false" outlineLevel="0" collapsed="false">
      <c r="B18" s="32" t="s">
        <v>673</v>
      </c>
      <c r="C18" s="33" t="s">
        <v>318</v>
      </c>
      <c r="D18" s="34" t="s">
        <v>660</v>
      </c>
    </row>
    <row r="19" customFormat="false" ht="15" hidden="false" customHeight="false" outlineLevel="0" collapsed="false">
      <c r="B19" s="32" t="s">
        <v>674</v>
      </c>
      <c r="C19" s="33" t="s">
        <v>330</v>
      </c>
      <c r="D19" s="34" t="s">
        <v>660</v>
      </c>
    </row>
    <row r="20" customFormat="false" ht="15" hidden="false" customHeight="false" outlineLevel="0" collapsed="false">
      <c r="B20" s="32" t="s">
        <v>675</v>
      </c>
      <c r="C20" s="33" t="s">
        <v>337</v>
      </c>
      <c r="D20" s="34" t="s">
        <v>660</v>
      </c>
    </row>
    <row r="21" customFormat="false" ht="15" hidden="false" customHeight="false" outlineLevel="0" collapsed="false">
      <c r="B21" s="32" t="s">
        <v>676</v>
      </c>
      <c r="C21" s="33" t="s">
        <v>352</v>
      </c>
      <c r="D21" s="34" t="s">
        <v>660</v>
      </c>
    </row>
    <row r="22" customFormat="false" ht="15" hidden="false" customHeight="false" outlineLevel="0" collapsed="false">
      <c r="B22" s="32" t="s">
        <v>677</v>
      </c>
      <c r="C22" s="33" t="s">
        <v>362</v>
      </c>
      <c r="D22" s="35" t="s">
        <v>678</v>
      </c>
    </row>
    <row r="23" customFormat="false" ht="15" hidden="false" customHeight="false" outlineLevel="0" collapsed="false">
      <c r="B23" s="32" t="s">
        <v>679</v>
      </c>
      <c r="C23" s="33" t="s">
        <v>680</v>
      </c>
      <c r="D23" s="35" t="s">
        <v>678</v>
      </c>
    </row>
    <row r="24" customFormat="false" ht="15" hidden="false" customHeight="false" outlineLevel="0" collapsed="false">
      <c r="B24" s="32" t="s">
        <v>681</v>
      </c>
      <c r="C24" s="33" t="s">
        <v>682</v>
      </c>
      <c r="D24" s="35" t="s">
        <v>678</v>
      </c>
    </row>
    <row r="25" customFormat="false" ht="15" hidden="false" customHeight="false" outlineLevel="0" collapsed="false">
      <c r="B25" s="32" t="s">
        <v>683</v>
      </c>
      <c r="C25" s="33" t="s">
        <v>382</v>
      </c>
      <c r="D25" s="34" t="s">
        <v>660</v>
      </c>
    </row>
    <row r="26" customFormat="false" ht="15" hidden="false" customHeight="false" outlineLevel="0" collapsed="false">
      <c r="B26" s="32" t="s">
        <v>684</v>
      </c>
      <c r="C26" s="33" t="s">
        <v>388</v>
      </c>
      <c r="D26" s="34" t="s">
        <v>660</v>
      </c>
    </row>
    <row r="27" customFormat="false" ht="15" hidden="false" customHeight="false" outlineLevel="0" collapsed="false">
      <c r="B27" s="32" t="s">
        <v>685</v>
      </c>
      <c r="C27" s="33" t="s">
        <v>398</v>
      </c>
      <c r="D27" s="34" t="s">
        <v>660</v>
      </c>
    </row>
    <row r="28" customFormat="false" ht="15" hidden="false" customHeight="false" outlineLevel="0" collapsed="false">
      <c r="B28" s="32" t="s">
        <v>686</v>
      </c>
      <c r="C28" s="33" t="s">
        <v>410</v>
      </c>
      <c r="D28" s="34" t="s">
        <v>660</v>
      </c>
    </row>
    <row r="29" customFormat="false" ht="15" hidden="false" customHeight="false" outlineLevel="0" collapsed="false">
      <c r="B29" s="32" t="s">
        <v>687</v>
      </c>
      <c r="C29" s="33" t="s">
        <v>688</v>
      </c>
      <c r="D29" s="35" t="s">
        <v>678</v>
      </c>
    </row>
    <row r="30" customFormat="false" ht="15" hidden="false" customHeight="false" outlineLevel="0" collapsed="false">
      <c r="B30" s="32" t="s">
        <v>689</v>
      </c>
      <c r="C30" s="33" t="s">
        <v>415</v>
      </c>
      <c r="D30" s="34" t="s">
        <v>660</v>
      </c>
    </row>
    <row r="31" customFormat="false" ht="15" hidden="false" customHeight="false" outlineLevel="0" collapsed="false">
      <c r="B31" s="32" t="s">
        <v>690</v>
      </c>
      <c r="C31" s="33" t="s">
        <v>691</v>
      </c>
      <c r="D31" s="35" t="s">
        <v>678</v>
      </c>
    </row>
    <row r="32" customFormat="false" ht="15" hidden="false" customHeight="false" outlineLevel="0" collapsed="false">
      <c r="B32" s="32" t="s">
        <v>692</v>
      </c>
      <c r="C32" s="33" t="s">
        <v>693</v>
      </c>
      <c r="D32" s="35" t="s">
        <v>678</v>
      </c>
    </row>
    <row r="33" customFormat="false" ht="15" hidden="false" customHeight="false" outlineLevel="0" collapsed="false">
      <c r="B33" s="32" t="s">
        <v>694</v>
      </c>
      <c r="C33" s="33" t="s">
        <v>695</v>
      </c>
      <c r="D33" s="35" t="s">
        <v>678</v>
      </c>
    </row>
    <row r="34" customFormat="false" ht="15" hidden="false" customHeight="false" outlineLevel="0" collapsed="false">
      <c r="B34" s="32" t="s">
        <v>696</v>
      </c>
      <c r="C34" s="33" t="s">
        <v>421</v>
      </c>
      <c r="D34" s="34" t="s">
        <v>660</v>
      </c>
    </row>
    <row r="35" customFormat="false" ht="15" hidden="false" customHeight="false" outlineLevel="0" collapsed="false">
      <c r="B35" s="32" t="s">
        <v>697</v>
      </c>
      <c r="C35" s="33" t="s">
        <v>432</v>
      </c>
      <c r="D35" s="34" t="s">
        <v>660</v>
      </c>
    </row>
    <row r="36" customFormat="false" ht="15" hidden="false" customHeight="false" outlineLevel="0" collapsed="false">
      <c r="B36" s="32" t="s">
        <v>698</v>
      </c>
      <c r="C36" s="33" t="s">
        <v>699</v>
      </c>
      <c r="D36" s="35" t="s">
        <v>678</v>
      </c>
    </row>
    <row r="37" customFormat="false" ht="15" hidden="false" customHeight="false" outlineLevel="0" collapsed="false">
      <c r="B37" s="32" t="s">
        <v>700</v>
      </c>
      <c r="C37" s="33" t="s">
        <v>441</v>
      </c>
      <c r="D37" s="34" t="s">
        <v>660</v>
      </c>
    </row>
    <row r="38" customFormat="false" ht="15" hidden="false" customHeight="false" outlineLevel="0" collapsed="false">
      <c r="B38" s="32" t="s">
        <v>701</v>
      </c>
      <c r="C38" s="33" t="s">
        <v>455</v>
      </c>
      <c r="D38" s="34" t="s">
        <v>660</v>
      </c>
    </row>
    <row r="39" customFormat="false" ht="15" hidden="false" customHeight="false" outlineLevel="0" collapsed="false">
      <c r="B39" s="32" t="s">
        <v>702</v>
      </c>
      <c r="C39" s="33" t="s">
        <v>477</v>
      </c>
      <c r="D39" s="34" t="s">
        <v>660</v>
      </c>
    </row>
    <row r="40" customFormat="false" ht="15" hidden="false" customHeight="false" outlineLevel="0" collapsed="false">
      <c r="B40" s="32" t="s">
        <v>703</v>
      </c>
      <c r="C40" s="33" t="s">
        <v>484</v>
      </c>
      <c r="D40" s="34" t="s">
        <v>660</v>
      </c>
    </row>
    <row r="41" customFormat="false" ht="15" hidden="false" customHeight="false" outlineLevel="0" collapsed="false">
      <c r="B41" s="32" t="s">
        <v>704</v>
      </c>
      <c r="C41" s="33" t="s">
        <v>493</v>
      </c>
      <c r="D41" s="34" t="s">
        <v>660</v>
      </c>
    </row>
    <row r="42" customFormat="false" ht="15" hidden="false" customHeight="false" outlineLevel="0" collapsed="false">
      <c r="B42" s="32" t="s">
        <v>705</v>
      </c>
      <c r="C42" s="33" t="s">
        <v>506</v>
      </c>
      <c r="D42" s="34" t="s">
        <v>660</v>
      </c>
    </row>
    <row r="43" customFormat="false" ht="15" hidden="false" customHeight="false" outlineLevel="0" collapsed="false">
      <c r="B43" s="32" t="s">
        <v>706</v>
      </c>
      <c r="C43" s="33" t="s">
        <v>517</v>
      </c>
      <c r="D43" s="34" t="s">
        <v>660</v>
      </c>
    </row>
    <row r="44" customFormat="false" ht="15" hidden="false" customHeight="false" outlineLevel="0" collapsed="false">
      <c r="B44" s="32" t="s">
        <v>707</v>
      </c>
      <c r="C44" s="33" t="s">
        <v>708</v>
      </c>
      <c r="D44" s="35" t="s">
        <v>678</v>
      </c>
    </row>
    <row r="45" customFormat="false" ht="15" hidden="false" customHeight="false" outlineLevel="0" collapsed="false">
      <c r="B45" s="32" t="s">
        <v>709</v>
      </c>
      <c r="C45" s="33" t="s">
        <v>710</v>
      </c>
      <c r="D45" s="35" t="s">
        <v>678</v>
      </c>
    </row>
    <row r="46" customFormat="false" ht="29.85" hidden="false" customHeight="false" outlineLevel="0" collapsed="false">
      <c r="B46" s="32" t="s">
        <v>711</v>
      </c>
      <c r="C46" s="33" t="s">
        <v>712</v>
      </c>
      <c r="D46" s="35" t="s">
        <v>678</v>
      </c>
    </row>
    <row r="48" customFormat="false" ht="15" hidden="false" customHeight="false" outlineLevel="0" collapsed="false">
      <c r="C48" s="36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4"/>
  </cols>
  <sheetData>
    <row r="2" customFormat="false" ht="20.1" hidden="false" customHeight="false" outlineLevel="0" collapsed="false">
      <c r="B2" s="31" t="s">
        <v>714</v>
      </c>
    </row>
    <row r="3" customFormat="false" ht="15" hidden="false" customHeight="false" outlineLevel="0" collapsed="false">
      <c r="B3" s="36" t="s">
        <v>715</v>
      </c>
    </row>
    <row r="5" customFormat="false" ht="15" hidden="false" customHeight="false" outlineLevel="0" collapsed="false">
      <c r="B5" s="21" t="s">
        <v>716</v>
      </c>
      <c r="C5" s="21" t="s">
        <v>717</v>
      </c>
    </row>
    <row r="6" customFormat="false" ht="15" hidden="false" customHeight="false" outlineLevel="0" collapsed="false">
      <c r="B6" s="25" t="s">
        <v>718</v>
      </c>
      <c r="C6" s="37" t="s">
        <v>719</v>
      </c>
    </row>
    <row r="7" customFormat="false" ht="15" hidden="false" customHeight="false" outlineLevel="0" collapsed="false">
      <c r="B7" s="25" t="s">
        <v>720</v>
      </c>
      <c r="C7" s="37" t="s">
        <v>721</v>
      </c>
    </row>
    <row r="8" customFormat="false" ht="15" hidden="false" customHeight="false" outlineLevel="0" collapsed="false">
      <c r="B8" s="25" t="s">
        <v>722</v>
      </c>
      <c r="C8" s="37" t="s">
        <v>723</v>
      </c>
    </row>
    <row r="9" customFormat="false" ht="15" hidden="false" customHeight="false" outlineLevel="0" collapsed="false">
      <c r="B9" s="25" t="s">
        <v>724</v>
      </c>
      <c r="C9" s="37" t="s">
        <v>725</v>
      </c>
    </row>
    <row r="10" customFormat="false" ht="15" hidden="false" customHeight="false" outlineLevel="0" collapsed="false">
      <c r="B10" s="25" t="s">
        <v>726</v>
      </c>
      <c r="C10" s="37" t="s">
        <v>727</v>
      </c>
    </row>
    <row r="11" customFormat="false" ht="15" hidden="false" customHeight="false" outlineLevel="0" collapsed="false">
      <c r="B11" s="25" t="s">
        <v>728</v>
      </c>
      <c r="C11" s="37" t="s">
        <v>729</v>
      </c>
    </row>
    <row r="12" customFormat="false" ht="15" hidden="false" customHeight="false" outlineLevel="0" collapsed="false">
      <c r="B12" s="25" t="s">
        <v>730</v>
      </c>
      <c r="C12" s="37" t="s">
        <v>731</v>
      </c>
    </row>
    <row r="13" customFormat="false" ht="15" hidden="false" customHeight="false" outlineLevel="0" collapsed="false">
      <c r="B13" s="25" t="s">
        <v>732</v>
      </c>
      <c r="C13" s="37" t="s">
        <v>733</v>
      </c>
    </row>
    <row r="14" customFormat="false" ht="15" hidden="false" customHeight="false" outlineLevel="0" collapsed="false">
      <c r="B14" s="25" t="s">
        <v>734</v>
      </c>
      <c r="C14" s="37" t="s">
        <v>735</v>
      </c>
    </row>
    <row r="15" customFormat="false" ht="15" hidden="false" customHeight="false" outlineLevel="0" collapsed="false">
      <c r="B15" s="25" t="s">
        <v>736</v>
      </c>
      <c r="C15" s="37" t="s">
        <v>737</v>
      </c>
    </row>
    <row r="16" customFormat="false" ht="15" hidden="false" customHeight="false" outlineLevel="0" collapsed="false">
      <c r="B16" s="25" t="s">
        <v>738</v>
      </c>
      <c r="C16" s="37" t="s">
        <v>739</v>
      </c>
    </row>
    <row r="17" customFormat="false" ht="15" hidden="false" customHeight="false" outlineLevel="0" collapsed="false">
      <c r="B17" s="25" t="s">
        <v>740</v>
      </c>
      <c r="C17" s="37" t="s">
        <v>741</v>
      </c>
    </row>
    <row r="18" customFormat="false" ht="15" hidden="false" customHeight="false" outlineLevel="0" collapsed="false">
      <c r="B18" s="25" t="s">
        <v>742</v>
      </c>
      <c r="C18" s="37" t="s">
        <v>743</v>
      </c>
    </row>
    <row r="19" customFormat="false" ht="15" hidden="false" customHeight="false" outlineLevel="0" collapsed="false">
      <c r="B19" s="25" t="s">
        <v>744</v>
      </c>
      <c r="C19" s="37" t="s">
        <v>721</v>
      </c>
    </row>
    <row r="20" customFormat="false" ht="15" hidden="false" customHeight="false" outlineLevel="0" collapsed="false">
      <c r="B20" s="25" t="s">
        <v>745</v>
      </c>
      <c r="C20" s="37" t="s">
        <v>746</v>
      </c>
    </row>
    <row r="21" customFormat="false" ht="15" hidden="false" customHeight="false" outlineLevel="0" collapsed="false">
      <c r="B21" s="25" t="s">
        <v>747</v>
      </c>
      <c r="C21" s="37" t="s">
        <v>748</v>
      </c>
    </row>
    <row r="22" customFormat="false" ht="15" hidden="false" customHeight="false" outlineLevel="0" collapsed="false">
      <c r="B22" s="25" t="s">
        <v>749</v>
      </c>
      <c r="C22" s="37" t="s">
        <v>737</v>
      </c>
    </row>
    <row r="23" customFormat="false" ht="15" hidden="false" customHeight="false" outlineLevel="0" collapsed="false">
      <c r="B23" s="25" t="s">
        <v>750</v>
      </c>
      <c r="C23" s="37" t="s">
        <v>751</v>
      </c>
    </row>
    <row r="24" customFormat="false" ht="15" hidden="false" customHeight="false" outlineLevel="0" collapsed="false">
      <c r="B24" s="25" t="s">
        <v>752</v>
      </c>
      <c r="C24" s="37" t="s">
        <v>753</v>
      </c>
    </row>
    <row r="25" customFormat="false" ht="15" hidden="false" customHeight="false" outlineLevel="0" collapsed="false">
      <c r="B25" s="25" t="s">
        <v>754</v>
      </c>
      <c r="C25" s="37" t="s">
        <v>755</v>
      </c>
    </row>
    <row r="26" customFormat="false" ht="15" hidden="false" customHeight="false" outlineLevel="0" collapsed="false">
      <c r="B26" s="25" t="s">
        <v>756</v>
      </c>
      <c r="C26" s="37" t="s">
        <v>757</v>
      </c>
    </row>
    <row r="27" customFormat="false" ht="15" hidden="false" customHeight="false" outlineLevel="0" collapsed="false">
      <c r="B27" s="25" t="s">
        <v>758</v>
      </c>
      <c r="C27" s="37" t="s">
        <v>735</v>
      </c>
    </row>
    <row r="28" customFormat="false" ht="15" hidden="false" customHeight="false" outlineLevel="0" collapsed="false">
      <c r="B28" s="25" t="s">
        <v>759</v>
      </c>
      <c r="C28" s="37" t="s">
        <v>760</v>
      </c>
    </row>
    <row r="29" customFormat="false" ht="15" hidden="false" customHeight="false" outlineLevel="0" collapsed="false">
      <c r="B29" s="25" t="s">
        <v>761</v>
      </c>
      <c r="C29" s="37" t="s">
        <v>762</v>
      </c>
    </row>
    <row r="30" customFormat="false" ht="15" hidden="false" customHeight="false" outlineLevel="0" collapsed="false">
      <c r="B30" s="25" t="s">
        <v>763</v>
      </c>
      <c r="C30" s="37" t="s">
        <v>764</v>
      </c>
    </row>
    <row r="31" customFormat="false" ht="15" hidden="false" customHeight="false" outlineLevel="0" collapsed="false">
      <c r="B31" s="25" t="s">
        <v>765</v>
      </c>
      <c r="C31" s="37" t="s">
        <v>766</v>
      </c>
    </row>
    <row r="32" customFormat="false" ht="15" hidden="false" customHeight="false" outlineLevel="0" collapsed="false">
      <c r="B32" s="25" t="s">
        <v>767</v>
      </c>
      <c r="C32" s="37" t="s">
        <v>768</v>
      </c>
    </row>
    <row r="33" customFormat="false" ht="15" hidden="false" customHeight="false" outlineLevel="0" collapsed="false">
      <c r="B33" s="25" t="s">
        <v>769</v>
      </c>
      <c r="C33" s="37" t="s">
        <v>770</v>
      </c>
    </row>
    <row r="34" customFormat="false" ht="15" hidden="false" customHeight="false" outlineLevel="0" collapsed="false">
      <c r="B34" s="25" t="s">
        <v>771</v>
      </c>
      <c r="C34" s="38" t="s">
        <v>299</v>
      </c>
    </row>
    <row r="35" customFormat="false" ht="15" hidden="false" customHeight="false" outlineLevel="0" collapsed="false">
      <c r="B35" s="25" t="s">
        <v>772</v>
      </c>
      <c r="C35" s="37" t="s">
        <v>773</v>
      </c>
    </row>
    <row r="36" customFormat="false" ht="15" hidden="false" customHeight="false" outlineLevel="0" collapsed="false">
      <c r="B36" s="25" t="s">
        <v>774</v>
      </c>
      <c r="C36" s="37" t="s">
        <v>775</v>
      </c>
    </row>
    <row r="37" customFormat="false" ht="15" hidden="false" customHeight="false" outlineLevel="0" collapsed="false">
      <c r="B37" s="25" t="s">
        <v>776</v>
      </c>
      <c r="C37" s="37" t="s">
        <v>777</v>
      </c>
    </row>
    <row r="38" customFormat="false" ht="15" hidden="false" customHeight="false" outlineLevel="0" collapsed="false">
      <c r="B38" s="25" t="s">
        <v>778</v>
      </c>
      <c r="C38" s="37" t="s">
        <v>779</v>
      </c>
    </row>
    <row r="39" customFormat="false" ht="15" hidden="false" customHeight="false" outlineLevel="0" collapsed="false">
      <c r="B39" s="25" t="s">
        <v>780</v>
      </c>
      <c r="C39" s="37" t="s">
        <v>737</v>
      </c>
    </row>
    <row r="40" customFormat="false" ht="15" hidden="false" customHeight="false" outlineLevel="0" collapsed="false">
      <c r="B40" s="25" t="s">
        <v>781</v>
      </c>
      <c r="C40" s="37" t="s">
        <v>782</v>
      </c>
    </row>
    <row r="41" customFormat="false" ht="15" hidden="false" customHeight="false" outlineLevel="0" collapsed="false">
      <c r="B41" s="25" t="s">
        <v>783</v>
      </c>
      <c r="C41" s="37" t="s">
        <v>784</v>
      </c>
    </row>
    <row r="42" customFormat="false" ht="15" hidden="false" customHeight="false" outlineLevel="0" collapsed="false">
      <c r="B42" s="25" t="s">
        <v>785</v>
      </c>
      <c r="C42" s="37" t="s">
        <v>786</v>
      </c>
    </row>
    <row r="43" customFormat="false" ht="15" hidden="false" customHeight="false" outlineLevel="0" collapsed="false">
      <c r="B43" s="25" t="s">
        <v>787</v>
      </c>
      <c r="C43" s="37" t="s">
        <v>788</v>
      </c>
    </row>
    <row r="44" customFormat="false" ht="15" hidden="false" customHeight="false" outlineLevel="0" collapsed="false">
      <c r="B44" s="25" t="s">
        <v>789</v>
      </c>
      <c r="C44" s="37" t="s">
        <v>790</v>
      </c>
    </row>
    <row r="45" customFormat="false" ht="15" hidden="false" customHeight="false" outlineLevel="0" collapsed="false">
      <c r="B45" s="25" t="s">
        <v>791</v>
      </c>
      <c r="C45" s="37" t="s">
        <v>792</v>
      </c>
    </row>
    <row r="46" customFormat="false" ht="15" hidden="false" customHeight="false" outlineLevel="0" collapsed="false">
      <c r="B46" s="25" t="s">
        <v>793</v>
      </c>
      <c r="C46" s="37" t="s">
        <v>794</v>
      </c>
    </row>
    <row r="47" customFormat="false" ht="15" hidden="false" customHeight="false" outlineLevel="0" collapsed="false">
      <c r="B47" s="25" t="s">
        <v>795</v>
      </c>
      <c r="C47" s="37" t="s">
        <v>796</v>
      </c>
    </row>
    <row r="48" customFormat="false" ht="15" hidden="false" customHeight="false" outlineLevel="0" collapsed="false">
      <c r="B48" s="25" t="s">
        <v>797</v>
      </c>
      <c r="C48" s="37" t="s">
        <v>798</v>
      </c>
    </row>
    <row r="49" customFormat="false" ht="15" hidden="false" customHeight="false" outlineLevel="0" collapsed="false">
      <c r="B49" s="25" t="s">
        <v>799</v>
      </c>
      <c r="C49" s="37" t="s">
        <v>800</v>
      </c>
    </row>
    <row r="50" customFormat="false" ht="15" hidden="false" customHeight="false" outlineLevel="0" collapsed="false">
      <c r="B50" s="25" t="s">
        <v>801</v>
      </c>
      <c r="C50" s="37" t="s">
        <v>802</v>
      </c>
    </row>
    <row r="51" customFormat="false" ht="15" hidden="false" customHeight="false" outlineLevel="0" collapsed="false">
      <c r="B51" s="25" t="s">
        <v>803</v>
      </c>
      <c r="C51" s="37" t="s">
        <v>790</v>
      </c>
    </row>
    <row r="52" customFormat="false" ht="15" hidden="false" customHeight="false" outlineLevel="0" collapsed="false">
      <c r="B52" s="25" t="s">
        <v>804</v>
      </c>
      <c r="C52" s="37" t="s">
        <v>805</v>
      </c>
    </row>
    <row r="53" customFormat="false" ht="15" hidden="false" customHeight="false" outlineLevel="0" collapsed="false">
      <c r="B53" s="25" t="s">
        <v>806</v>
      </c>
      <c r="C53" s="37" t="s">
        <v>807</v>
      </c>
    </row>
    <row r="54" customFormat="false" ht="15" hidden="false" customHeight="false" outlineLevel="0" collapsed="false">
      <c r="B54" s="25" t="s">
        <v>808</v>
      </c>
      <c r="C54" s="37" t="s">
        <v>809</v>
      </c>
    </row>
    <row r="55" customFormat="false" ht="15" hidden="false" customHeight="false" outlineLevel="0" collapsed="false">
      <c r="B55" s="25" t="s">
        <v>810</v>
      </c>
      <c r="C55" s="37" t="s">
        <v>811</v>
      </c>
    </row>
    <row r="56" customFormat="false" ht="15" hidden="false" customHeight="false" outlineLevel="0" collapsed="false">
      <c r="B56" s="25" t="s">
        <v>812</v>
      </c>
      <c r="C56" s="37" t="s">
        <v>770</v>
      </c>
    </row>
    <row r="57" customFormat="false" ht="15" hidden="false" customHeight="false" outlineLevel="0" collapsed="false">
      <c r="B57" s="25" t="s">
        <v>813</v>
      </c>
      <c r="C57" s="37" t="s">
        <v>814</v>
      </c>
    </row>
    <row r="58" customFormat="false" ht="15" hidden="false" customHeight="false" outlineLevel="0" collapsed="false">
      <c r="B58" s="25" t="s">
        <v>815</v>
      </c>
      <c r="C58" s="38" t="s">
        <v>299</v>
      </c>
    </row>
    <row r="59" customFormat="false" ht="15" hidden="false" customHeight="false" outlineLevel="0" collapsed="false">
      <c r="B59" s="25" t="s">
        <v>816</v>
      </c>
      <c r="C59" s="37" t="s">
        <v>817</v>
      </c>
    </row>
    <row r="60" customFormat="false" ht="15" hidden="false" customHeight="false" outlineLevel="0" collapsed="false">
      <c r="B60" s="25" t="s">
        <v>818</v>
      </c>
      <c r="C60" s="37" t="s">
        <v>819</v>
      </c>
    </row>
    <row r="61" customFormat="false" ht="15" hidden="false" customHeight="false" outlineLevel="0" collapsed="false">
      <c r="B61" s="25" t="s">
        <v>820</v>
      </c>
      <c r="C61" s="37" t="s">
        <v>821</v>
      </c>
    </row>
    <row r="62" customFormat="false" ht="15" hidden="false" customHeight="false" outlineLevel="0" collapsed="false">
      <c r="B62" s="25" t="s">
        <v>822</v>
      </c>
      <c r="C62" s="38" t="s">
        <v>299</v>
      </c>
    </row>
    <row r="63" customFormat="false" ht="15" hidden="false" customHeight="false" outlineLevel="0" collapsed="false">
      <c r="B63" s="25" t="s">
        <v>823</v>
      </c>
      <c r="C63" s="37" t="s">
        <v>824</v>
      </c>
    </row>
    <row r="64" customFormat="false" ht="15" hidden="false" customHeight="false" outlineLevel="0" collapsed="false">
      <c r="B64" s="25" t="s">
        <v>825</v>
      </c>
      <c r="C64" s="37" t="s">
        <v>826</v>
      </c>
    </row>
    <row r="65" customFormat="false" ht="15" hidden="false" customHeight="false" outlineLevel="0" collapsed="false">
      <c r="B65" s="25" t="s">
        <v>827</v>
      </c>
      <c r="C65" s="37" t="s">
        <v>828</v>
      </c>
    </row>
    <row r="66" customFormat="false" ht="15" hidden="false" customHeight="false" outlineLevel="0" collapsed="false">
      <c r="B66" s="25" t="s">
        <v>829</v>
      </c>
      <c r="C66" s="37" t="s">
        <v>830</v>
      </c>
    </row>
    <row r="67" customFormat="false" ht="15" hidden="false" customHeight="false" outlineLevel="0" collapsed="false">
      <c r="B67" s="25" t="s">
        <v>831</v>
      </c>
      <c r="C67" s="37" t="s">
        <v>832</v>
      </c>
    </row>
    <row r="68" customFormat="false" ht="15" hidden="false" customHeight="false" outlineLevel="0" collapsed="false">
      <c r="B68" s="25" t="s">
        <v>833</v>
      </c>
      <c r="C68" s="37" t="s">
        <v>762</v>
      </c>
    </row>
    <row r="69" customFormat="false" ht="15" hidden="false" customHeight="false" outlineLevel="0" collapsed="false">
      <c r="B69" s="25" t="s">
        <v>834</v>
      </c>
      <c r="C69" s="37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2" customFormat="false" ht="21.6" hidden="false" customHeight="false" outlineLevel="0" collapsed="false">
      <c r="B2" s="9" t="s">
        <v>836</v>
      </c>
    </row>
    <row r="3" customFormat="false" ht="15" hidden="false" customHeight="false" outlineLevel="0" collapsed="false">
      <c r="B3" s="20" t="s">
        <v>837</v>
      </c>
    </row>
    <row r="4" customFormat="false" ht="15" hidden="false" customHeight="false" outlineLevel="0" collapsed="false">
      <c r="B4" s="39" t="s">
        <v>838</v>
      </c>
    </row>
    <row r="6" customFormat="false" ht="15" hidden="false" customHeight="false" outlineLevel="0" collapsed="false">
      <c r="B6" s="21" t="s">
        <v>839</v>
      </c>
      <c r="C6" s="21" t="s">
        <v>62</v>
      </c>
      <c r="D6" s="21" t="s">
        <v>840</v>
      </c>
      <c r="E6" s="21" t="s">
        <v>65</v>
      </c>
      <c r="F6" s="21" t="s">
        <v>841</v>
      </c>
      <c r="G6" s="21" t="s">
        <v>842</v>
      </c>
      <c r="H6" s="21" t="s">
        <v>843</v>
      </c>
      <c r="I6" s="21" t="s">
        <v>80</v>
      </c>
    </row>
    <row r="7" customFormat="false" ht="15" hidden="false" customHeight="false" outlineLevel="0" collapsed="false">
      <c r="B7" s="23" t="n">
        <v>1</v>
      </c>
      <c r="C7" s="24" t="s">
        <v>115</v>
      </c>
      <c r="D7" s="25" t="s">
        <v>844</v>
      </c>
      <c r="E7" s="23" t="s">
        <v>85</v>
      </c>
      <c r="F7" s="24" t="s">
        <v>845</v>
      </c>
      <c r="G7" s="23" t="s">
        <v>846</v>
      </c>
      <c r="H7" s="40" t="s">
        <v>847</v>
      </c>
      <c r="I7" s="40" t="s">
        <v>848</v>
      </c>
    </row>
    <row r="8" customFormat="false" ht="15" hidden="false" customHeight="false" outlineLevel="0" collapsed="false">
      <c r="B8" s="23" t="n">
        <v>1</v>
      </c>
      <c r="C8" s="24" t="s">
        <v>115</v>
      </c>
      <c r="D8" s="24" t="s">
        <v>849</v>
      </c>
      <c r="E8" s="23" t="s">
        <v>85</v>
      </c>
      <c r="F8" s="25" t="s">
        <v>850</v>
      </c>
      <c r="G8" s="23" t="s">
        <v>851</v>
      </c>
      <c r="H8" s="40" t="s">
        <v>847</v>
      </c>
      <c r="I8" s="40" t="s">
        <v>848</v>
      </c>
    </row>
    <row r="9" customFormat="false" ht="15" hidden="false" customHeight="false" outlineLevel="0" collapsed="false">
      <c r="B9" s="23" t="n">
        <v>1</v>
      </c>
      <c r="C9" s="24" t="s">
        <v>115</v>
      </c>
      <c r="D9" s="25" t="s">
        <v>852</v>
      </c>
      <c r="E9" s="23" t="s">
        <v>112</v>
      </c>
      <c r="F9" s="24" t="s">
        <v>845</v>
      </c>
      <c r="G9" s="23" t="s">
        <v>853</v>
      </c>
      <c r="H9" s="40" t="s">
        <v>847</v>
      </c>
      <c r="I9" s="40" t="s">
        <v>848</v>
      </c>
    </row>
    <row r="10" customFormat="false" ht="15" hidden="false" customHeight="false" outlineLevel="0" collapsed="false">
      <c r="B10" s="23" t="n">
        <v>2</v>
      </c>
      <c r="C10" s="24" t="s">
        <v>398</v>
      </c>
      <c r="D10" s="24" t="s">
        <v>854</v>
      </c>
      <c r="E10" s="23" t="s">
        <v>142</v>
      </c>
      <c r="F10" s="24" t="s">
        <v>845</v>
      </c>
      <c r="G10" s="23" t="s">
        <v>855</v>
      </c>
      <c r="H10" s="40" t="s">
        <v>847</v>
      </c>
      <c r="I10" s="40" t="s">
        <v>848</v>
      </c>
    </row>
    <row r="11" customFormat="false" ht="15" hidden="false" customHeight="false" outlineLevel="0" collapsed="false">
      <c r="B11" s="23" t="n">
        <v>3</v>
      </c>
      <c r="C11" s="24" t="s">
        <v>432</v>
      </c>
      <c r="D11" s="24" t="s">
        <v>856</v>
      </c>
      <c r="E11" s="23" t="s">
        <v>112</v>
      </c>
      <c r="F11" s="24" t="s">
        <v>845</v>
      </c>
      <c r="G11" s="23" t="s">
        <v>857</v>
      </c>
      <c r="H11" s="40" t="s">
        <v>847</v>
      </c>
      <c r="I11" s="40" t="s">
        <v>848</v>
      </c>
    </row>
    <row r="12" customFormat="false" ht="15" hidden="false" customHeight="false" outlineLevel="0" collapsed="false">
      <c r="B12" s="23" t="n">
        <v>4</v>
      </c>
      <c r="C12" s="24" t="s">
        <v>330</v>
      </c>
      <c r="D12" s="24" t="s">
        <v>858</v>
      </c>
      <c r="E12" s="23" t="s">
        <v>859</v>
      </c>
      <c r="F12" s="24" t="s">
        <v>845</v>
      </c>
      <c r="G12" s="23" t="s">
        <v>860</v>
      </c>
      <c r="H12" s="40" t="s">
        <v>847</v>
      </c>
      <c r="I12" s="40" t="s">
        <v>848</v>
      </c>
    </row>
    <row r="13" customFormat="false" ht="15" hidden="false" customHeight="false" outlineLevel="0" collapsed="false">
      <c r="B13" s="23" t="n">
        <v>5</v>
      </c>
      <c r="C13" s="24" t="s">
        <v>861</v>
      </c>
      <c r="D13" s="25" t="s">
        <v>862</v>
      </c>
      <c r="E13" s="23" t="s">
        <v>85</v>
      </c>
      <c r="F13" s="25" t="s">
        <v>863</v>
      </c>
      <c r="G13" s="23" t="s">
        <v>589</v>
      </c>
      <c r="H13" s="41" t="s">
        <v>864</v>
      </c>
      <c r="I13" s="40" t="s">
        <v>848</v>
      </c>
    </row>
    <row r="14" customFormat="false" ht="15" hidden="false" customHeight="false" outlineLevel="0" collapsed="false">
      <c r="B14" s="23" t="n">
        <v>5</v>
      </c>
      <c r="C14" s="24" t="s">
        <v>861</v>
      </c>
      <c r="D14" s="25" t="s">
        <v>865</v>
      </c>
      <c r="E14" s="23" t="s">
        <v>85</v>
      </c>
      <c r="F14" s="25" t="s">
        <v>866</v>
      </c>
      <c r="G14" s="23" t="s">
        <v>867</v>
      </c>
      <c r="H14" s="41" t="s">
        <v>864</v>
      </c>
      <c r="I14" s="40" t="s">
        <v>848</v>
      </c>
    </row>
    <row r="15" customFormat="false" ht="15" hidden="false" customHeight="false" outlineLevel="0" collapsed="false">
      <c r="B15" s="23" t="n">
        <v>6</v>
      </c>
      <c r="C15" s="24" t="s">
        <v>175</v>
      </c>
      <c r="D15" s="25" t="s">
        <v>868</v>
      </c>
      <c r="E15" s="23" t="s">
        <v>85</v>
      </c>
      <c r="F15" s="24" t="s">
        <v>869</v>
      </c>
      <c r="G15" s="23" t="s">
        <v>870</v>
      </c>
      <c r="H15" s="41" t="s">
        <v>864</v>
      </c>
      <c r="I15" s="40" t="s">
        <v>848</v>
      </c>
    </row>
    <row r="16" customFormat="false" ht="15" hidden="false" customHeight="false" outlineLevel="0" collapsed="false">
      <c r="B16" s="23" t="n">
        <v>7</v>
      </c>
      <c r="C16" s="24" t="s">
        <v>871</v>
      </c>
      <c r="D16" s="25" t="s">
        <v>872</v>
      </c>
      <c r="E16" s="23" t="s">
        <v>169</v>
      </c>
      <c r="F16" s="25" t="s">
        <v>873</v>
      </c>
      <c r="G16" s="23" t="s">
        <v>656</v>
      </c>
      <c r="H16" s="41" t="s">
        <v>864</v>
      </c>
      <c r="I16" s="40" t="s">
        <v>848</v>
      </c>
    </row>
    <row r="17" customFormat="false" ht="15" hidden="false" customHeight="false" outlineLevel="0" collapsed="false">
      <c r="B17" s="23" t="n">
        <v>7</v>
      </c>
      <c r="C17" s="24" t="s">
        <v>871</v>
      </c>
      <c r="D17" s="25" t="s">
        <v>874</v>
      </c>
      <c r="E17" s="23" t="s">
        <v>112</v>
      </c>
      <c r="F17" s="24" t="s">
        <v>845</v>
      </c>
      <c r="G17" s="23" t="s">
        <v>875</v>
      </c>
      <c r="H17" s="41" t="s">
        <v>864</v>
      </c>
      <c r="I17" s="40" t="s">
        <v>848</v>
      </c>
    </row>
    <row r="18" customFormat="false" ht="15" hidden="false" customHeight="false" outlineLevel="0" collapsed="false">
      <c r="B18" s="23" t="n">
        <v>8</v>
      </c>
      <c r="C18" s="24" t="s">
        <v>226</v>
      </c>
      <c r="D18" s="25" t="s">
        <v>876</v>
      </c>
      <c r="E18" s="23" t="s">
        <v>85</v>
      </c>
      <c r="F18" s="24" t="s">
        <v>845</v>
      </c>
      <c r="G18" s="23" t="s">
        <v>877</v>
      </c>
      <c r="H18" s="41" t="s">
        <v>864</v>
      </c>
      <c r="I18" s="40" t="s">
        <v>848</v>
      </c>
    </row>
    <row r="19" customFormat="false" ht="15" hidden="false" customHeight="false" outlineLevel="0" collapsed="false">
      <c r="B19" s="23" t="n">
        <v>9</v>
      </c>
      <c r="C19" s="24" t="s">
        <v>878</v>
      </c>
      <c r="D19" s="24" t="s">
        <v>879</v>
      </c>
      <c r="E19" s="23" t="s">
        <v>85</v>
      </c>
      <c r="F19" s="24" t="s">
        <v>845</v>
      </c>
      <c r="G19" s="23" t="s">
        <v>644</v>
      </c>
      <c r="H19" s="41" t="s">
        <v>864</v>
      </c>
      <c r="I19" s="40" t="s">
        <v>848</v>
      </c>
    </row>
    <row r="20" customFormat="false" ht="15" hidden="false" customHeight="false" outlineLevel="0" collapsed="false">
      <c r="B20" s="23" t="n">
        <v>9</v>
      </c>
      <c r="C20" s="24" t="s">
        <v>878</v>
      </c>
      <c r="D20" s="24" t="s">
        <v>880</v>
      </c>
      <c r="E20" s="23" t="s">
        <v>85</v>
      </c>
      <c r="F20" s="24" t="s">
        <v>881</v>
      </c>
      <c r="G20" s="23" t="s">
        <v>644</v>
      </c>
      <c r="H20" s="41" t="s">
        <v>864</v>
      </c>
      <c r="I20" s="40" t="s">
        <v>848</v>
      </c>
    </row>
    <row r="21" customFormat="false" ht="15" hidden="false" customHeight="false" outlineLevel="0" collapsed="false">
      <c r="B21" s="23" t="n">
        <v>10</v>
      </c>
      <c r="C21" s="24" t="s">
        <v>297</v>
      </c>
      <c r="D21" s="25" t="s">
        <v>882</v>
      </c>
      <c r="E21" s="23" t="s">
        <v>85</v>
      </c>
      <c r="F21" s="24" t="s">
        <v>883</v>
      </c>
      <c r="G21" s="23" t="s">
        <v>652</v>
      </c>
      <c r="H21" s="41" t="s">
        <v>864</v>
      </c>
      <c r="I21" s="40" t="s">
        <v>848</v>
      </c>
    </row>
    <row r="22" customFormat="false" ht="15" hidden="false" customHeight="false" outlineLevel="0" collapsed="false">
      <c r="B22" s="23" t="n">
        <v>11</v>
      </c>
      <c r="C22" s="24" t="s">
        <v>884</v>
      </c>
      <c r="D22" s="25" t="s">
        <v>885</v>
      </c>
      <c r="E22" s="23" t="s">
        <v>85</v>
      </c>
      <c r="F22" s="24" t="s">
        <v>886</v>
      </c>
      <c r="G22" s="23" t="s">
        <v>573</v>
      </c>
      <c r="H22" s="41" t="s">
        <v>864</v>
      </c>
      <c r="I22" s="40" t="s">
        <v>848</v>
      </c>
    </row>
    <row r="23" customFormat="false" ht="15" hidden="false" customHeight="false" outlineLevel="0" collapsed="false">
      <c r="B23" s="23" t="n">
        <v>12</v>
      </c>
      <c r="C23" s="24" t="s">
        <v>887</v>
      </c>
      <c r="D23" s="25" t="s">
        <v>874</v>
      </c>
      <c r="E23" s="23" t="s">
        <v>112</v>
      </c>
      <c r="F23" s="24" t="s">
        <v>845</v>
      </c>
      <c r="G23" s="23" t="s">
        <v>875</v>
      </c>
      <c r="H23" s="41" t="s">
        <v>864</v>
      </c>
      <c r="I23" s="40" t="s">
        <v>848</v>
      </c>
    </row>
    <row r="24" customFormat="false" ht="15" hidden="false" customHeight="false" outlineLevel="0" collapsed="false">
      <c r="B24" s="23" t="n">
        <v>13</v>
      </c>
      <c r="C24" s="24" t="s">
        <v>216</v>
      </c>
      <c r="D24" s="25" t="s">
        <v>874</v>
      </c>
      <c r="E24" s="23" t="s">
        <v>112</v>
      </c>
      <c r="F24" s="24" t="s">
        <v>845</v>
      </c>
      <c r="G24" s="23" t="s">
        <v>875</v>
      </c>
      <c r="H24" s="41" t="s">
        <v>864</v>
      </c>
      <c r="I24" s="40" t="s">
        <v>848</v>
      </c>
    </row>
    <row r="26" customFormat="false" ht="15" hidden="false" customHeight="false" outlineLevel="0" collapsed="false">
      <c r="C26" s="20" t="s">
        <v>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2026-06-23T12:22:04Z</dcterms:created>
  <dc:creator>openpyxl</dc:creator>
  <dc:description/>
  <dc:language>en-US</dc:language>
  <cp:lastModifiedBy/>
  <dcterms:modified xsi:type="dcterms:W3CDTF">2026-06-23T12:22:05Z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