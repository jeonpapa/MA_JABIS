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over" sheetId="1" state="visible" r:id="rId1"/>
    <sheet xmlns:r="http://schemas.openxmlformats.org/officeDocument/2006/relationships" name="2. A8 Summary" sheetId="2" state="visible" r:id="rId2"/>
    <sheet xmlns:r="http://schemas.openxmlformats.org/officeDocument/2006/relationships" name="3. Adjustment Logic" sheetId="3" state="visible" r:id="rId3"/>
    <sheet xmlns:r="http://schemas.openxmlformats.org/officeDocument/2006/relationships" name="4. Source Raw" sheetId="4" state="visible" r:id="rId4"/>
    <sheet xmlns:r="http://schemas.openxmlformats.org/officeDocument/2006/relationships" name="5. Product Matching" sheetId="5" state="visible" r:id="rId5"/>
    <sheet xmlns:r="http://schemas.openxmlformats.org/officeDocument/2006/relationships" name="6. HTA Matrix" sheetId="6" state="visible" r:id="rId6"/>
    <sheet xmlns:r="http://schemas.openxmlformats.org/officeDocument/2006/relationships" name="7. Assumptions" sheetId="7" state="visible" r:id="rId7"/>
    <sheet xmlns:r="http://schemas.openxmlformats.org/officeDocument/2006/relationships" name="8. Scenarios" sheetId="8" state="visible" r:id="rId8"/>
    <sheet xmlns:r="http://schemas.openxmlformats.org/officeDocument/2006/relationships" name="9. Audit 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1F4E78"/>
      <sz val="18"/>
    </font>
    <font>
      <i val="1"/>
      <color rgb="00666666"/>
      <sz val="11"/>
    </font>
    <font>
      <b val="1"/>
      <color rgb="001F4E78"/>
    </font>
    <font>
      <b val="1"/>
      <color rgb="00C00000"/>
      <sz val="14"/>
    </font>
    <font>
      <i val="1"/>
      <color rgb="00888888"/>
      <sz val="9"/>
    </font>
    <font>
      <b val="1"/>
      <color rgb="00FFFFFF"/>
      <sz val="11"/>
    </font>
    <font>
      <b val="1"/>
      <color rgb="001F4E78"/>
      <sz val="12"/>
    </font>
    <font>
      <b val="1"/>
    </font>
    <font>
      <color rgb="000563C1"/>
      <u val="single"/>
    </font>
    <font>
      <i val="1"/>
      <color rgb="00666666"/>
    </font>
    <font>
      <i val="1"/>
      <color rgb="00888888"/>
    </font>
    <font/>
    <font>
      <b val="1"/>
      <color rgb="001F4E78"/>
      <sz val="14"/>
    </font>
    <font>
      <b val="1"/>
      <color rgb="00C00000"/>
    </font>
    <font>
      <b val="1"/>
      <color rgb="00000000"/>
      <sz val="13"/>
    </font>
    <font>
      <b val="1"/>
      <color rgb="00008000"/>
      <sz val="13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7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3" fillId="0" borderId="0" pivotButton="0" quotePrefix="0" xfId="0"/>
    <xf numFmtId="0" fontId="14" fillId="0" borderId="0" pivotButton="0" quotePrefix="0" xfId="0"/>
    <xf numFmtId="0" fontId="15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조정가 (KRW)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'2. A8 Summary'!H1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'2. A8 Summary'!$A$2:$A$7</f>
            </numRef>
          </cat>
          <val>
            <numRef>
              <f>'2. A8 Summary'!$H$2:$H$7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조정가 (KRW)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국가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mhlw.go.jp/topics/2024/04/tp20240401-01.html" TargetMode="External" Id="rId1"/><Relationship Type="http://schemas.openxmlformats.org/officeDocument/2006/relationships/hyperlink" Target="https://www.aifa.gov.it/en/liste-farmaci-a-h" TargetMode="External" Id="rId2"/><Relationship Type="http://schemas.openxmlformats.org/officeDocument/2006/relationships/hyperlink" Target="https://www.vidal.fr/medicaments/keytruda-25-mg-ml-sol-diluer-p-perf-173141.html" TargetMode="External" Id="rId3"/><Relationship Type="http://schemas.openxmlformats.org/officeDocument/2006/relationships/hyperlink" Target="https://www.compendium.ch/product/1346803/keytruda" TargetMode="External" Id="rId4"/><Relationship Type="http://schemas.openxmlformats.org/officeDocument/2006/relationships/hyperlink" Target="https://www.mims.co.uk/drugs/cancer/antineoplastics/keytruda" TargetMode="External" Id="rId5"/><Relationship Type="http://schemas.openxmlformats.org/officeDocument/2006/relationships/hyperlink" Target="https://www.rote-liste.de/rle/detail/26358-0/KEYTRUDA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0" customHeight="1">
      <c r="A1" s="1" t="inlineStr">
        <is>
          <t>MA Negotiation Workbench</t>
        </is>
      </c>
    </row>
    <row r="2">
      <c r="A2" s="2" t="inlineStr">
        <is>
          <t>심평원 약가 협상 근거 자료</t>
        </is>
      </c>
    </row>
    <row r="4">
      <c r="A4" s="3" t="inlineStr">
        <is>
          <t>프로젝트명</t>
        </is>
      </c>
      <c r="B4" s="4" t="inlineStr">
        <is>
          <t>Keytruda 100mg/4mL 2026 상반기 조정 협상</t>
        </is>
      </c>
    </row>
    <row r="5">
      <c r="A5" s="3" t="inlineStr">
        <is>
          <t>대상 제품 (영문)</t>
        </is>
      </c>
      <c r="B5" s="4" t="inlineStr">
        <is>
          <t>Keytruda (pembrolizumab)</t>
        </is>
      </c>
    </row>
    <row r="6">
      <c r="A6" s="3" t="inlineStr">
        <is>
          <t>대상 제품 (국문)</t>
        </is>
      </c>
      <c r="B6" s="4" t="inlineStr">
        <is>
          <t>키트루다주</t>
        </is>
      </c>
    </row>
    <row r="7">
      <c r="A7" s="3" t="inlineStr">
        <is>
          <t>제조사</t>
        </is>
      </c>
      <c r="B7" s="4" t="inlineStr">
        <is>
          <t>MSD Korea</t>
        </is>
      </c>
    </row>
    <row r="8">
      <c r="A8" s="3" t="inlineStr">
        <is>
          <t>ATC 코드</t>
        </is>
      </c>
      <c r="B8" s="4" t="inlineStr">
        <is>
          <t>L01FF02</t>
        </is>
      </c>
    </row>
    <row r="9">
      <c r="A9" s="3" t="inlineStr">
        <is>
          <t>국내 기준 SKU</t>
        </is>
      </c>
      <c r="B9" s="4" t="inlineStr">
        <is>
          <t>100mg / 4mL / 1 vial</t>
        </is>
      </c>
    </row>
    <row r="10">
      <c r="A10" s="3" t="inlineStr">
        <is>
          <t>협상 유형</t>
        </is>
      </c>
      <c r="B10" s="4" t="inlineStr">
        <is>
          <t>약가 조정</t>
        </is>
      </c>
    </row>
    <row r="11">
      <c r="A11" s="3" t="inlineStr"/>
      <c r="B11" s="4" t="inlineStr"/>
    </row>
    <row r="12">
      <c r="A12" s="3" t="inlineStr">
        <is>
          <t>선정 시나리오</t>
        </is>
      </c>
      <c r="B12" s="4" t="inlineStr">
        <is>
          <t>B안 (IT 제외)</t>
        </is>
      </c>
    </row>
    <row r="13">
      <c r="A13" s="3" t="inlineStr">
        <is>
          <t>제안 상한가 (KRW)</t>
        </is>
      </c>
      <c r="B13" s="5" t="inlineStr">
        <is>
          <t>₩ 2,192,533</t>
        </is>
      </c>
    </row>
    <row r="14">
      <c r="A14" s="3" t="inlineStr">
        <is>
          <t>산정 기준</t>
        </is>
      </c>
      <c r="B14" s="4" t="inlineStr">
        <is>
          <t>A8 최저 × 90%  (최저: JP 2,436,148 KRW)</t>
        </is>
      </c>
    </row>
    <row r="15">
      <c r="A15" s="3" t="inlineStr"/>
      <c r="B15" s="4" t="inlineStr"/>
    </row>
    <row r="16">
      <c r="A16" s="3" t="inlineStr">
        <is>
          <t>작성자</t>
        </is>
      </c>
      <c r="B16" s="4" t="inlineStr">
        <is>
          <t>Joseph Kim</t>
        </is>
      </c>
    </row>
    <row r="17">
      <c r="A17" s="3" t="inlineStr">
        <is>
          <t>작성일</t>
        </is>
      </c>
      <c r="B17" s="4" t="inlineStr">
        <is>
          <t>2026-04-16</t>
        </is>
      </c>
    </row>
    <row r="18">
      <c r="A18" s="3" t="inlineStr">
        <is>
          <t>버전</t>
        </is>
      </c>
      <c r="B18" s="4" t="inlineStr">
        <is>
          <t>v1.0-SAMPLE</t>
        </is>
      </c>
    </row>
    <row r="19">
      <c r="A19" s="3" t="inlineStr">
        <is>
          <t>데이터 최신성</t>
        </is>
      </c>
      <c r="B19" s="4" t="inlineStr">
        <is>
          <t>각국 소스 스크레이핑 시점 별도 기록 (Sheet 4 참조)</t>
        </is>
      </c>
    </row>
    <row r="22">
      <c r="A22" s="6" t="inlineStr">
        <is>
          <t>※ 본 문서는 MA Negotiation Workbench v1.0 템플릿 샘플입니다.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0" customWidth="1" min="3" max="3"/>
    <col width="14" customWidth="1" min="4" max="4"/>
    <col width="11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>
      <c r="A1" s="7" t="inlineStr">
        <is>
          <t>국가</t>
        </is>
      </c>
      <c r="B1" s="7" t="inlineStr">
        <is>
          <t>원통화 제품</t>
        </is>
      </c>
      <c r="C1" s="7" t="inlineStr">
        <is>
          <t>통화</t>
        </is>
      </c>
      <c r="D1" s="7" t="inlineStr">
        <is>
          <t>현지약가</t>
        </is>
      </c>
      <c r="E1" s="7" t="inlineStr">
        <is>
          <t>환율</t>
        </is>
      </c>
      <c r="F1" s="7" t="inlineStr">
        <is>
          <t>KRW 환산</t>
        </is>
      </c>
      <c r="G1" s="7" t="inlineStr">
        <is>
          <t>공장도가(KRW)</t>
        </is>
      </c>
      <c r="H1" s="7" t="inlineStr">
        <is>
          <t>조정가(KRW)</t>
        </is>
      </c>
      <c r="I1" s="7" t="inlineStr">
        <is>
          <t>포함</t>
        </is>
      </c>
    </row>
    <row r="2">
      <c r="A2" s="8" t="inlineStr">
        <is>
          <t>JP</t>
        </is>
      </c>
      <c r="B2" s="8" t="inlineStr">
        <is>
          <t>キイトルーダ点滴静注100mg 4mL ※추정</t>
        </is>
      </c>
      <c r="C2" s="8" t="inlineStr">
        <is>
          <t>JPY</t>
        </is>
      </c>
      <c r="D2" s="9" t="n">
        <v>279253</v>
      </c>
      <c r="E2" s="9" t="n">
        <v>9.210000000000001</v>
      </c>
      <c r="F2" s="9" t="n">
        <v>2571920</v>
      </c>
      <c r="G2" s="9" t="n">
        <v>2031816</v>
      </c>
      <c r="H2" s="9" t="n">
        <v>2436148</v>
      </c>
      <c r="I2" s="8" t="inlineStr">
        <is>
          <t>✅</t>
        </is>
      </c>
    </row>
    <row r="3">
      <c r="A3" s="8" t="inlineStr">
        <is>
          <t>IT</t>
        </is>
      </c>
      <c r="B3" s="8" t="inlineStr">
        <is>
          <t>KEYTRUDA 1 flaconcino infus EV 4mL 25mg/mL</t>
        </is>
      </c>
      <c r="C3" s="8" t="inlineStr">
        <is>
          <t>EUR</t>
        </is>
      </c>
      <c r="D3" s="9" t="n">
        <v>3428</v>
      </c>
      <c r="E3" s="9" t="n">
        <v>1526.27</v>
      </c>
      <c r="F3" s="9" t="n">
        <v>5232053</v>
      </c>
      <c r="G3" s="9" t="n">
        <v>5232053</v>
      </c>
      <c r="H3" s="9" t="n">
        <v>6273232</v>
      </c>
      <c r="I3" s="8" t="inlineStr">
        <is>
          <t>❌</t>
        </is>
      </c>
    </row>
    <row r="4">
      <c r="A4" s="8" t="inlineStr">
        <is>
          <t>FR</t>
        </is>
      </c>
      <c r="B4" s="8" t="inlineStr">
        <is>
          <t>KEYTRUDA 25mg/mL sol diluer p perf 4mL ※추정</t>
        </is>
      </c>
      <c r="C4" s="8" t="inlineStr">
        <is>
          <t>EUR</t>
        </is>
      </c>
      <c r="D4" s="9" t="n">
        <v>2860</v>
      </c>
      <c r="E4" s="9" t="n">
        <v>1526.27</v>
      </c>
      <c r="F4" s="9" t="n">
        <v>4365132</v>
      </c>
      <c r="G4" s="9" t="n">
        <v>2837335</v>
      </c>
      <c r="H4" s="9" t="n">
        <v>3157642</v>
      </c>
      <c r="I4" s="8" t="inlineStr">
        <is>
          <t>✅</t>
        </is>
      </c>
    </row>
    <row r="5">
      <c r="A5" s="8" t="inlineStr">
        <is>
          <t>CH</t>
        </is>
      </c>
      <c r="B5" s="8" t="inlineStr">
        <is>
          <t>KEYTRUDA Inf Konz 100mg/4mL</t>
        </is>
      </c>
      <c r="C5" s="8" t="inlineStr">
        <is>
          <t>CHF</t>
        </is>
      </c>
      <c r="D5" s="9" t="n">
        <v>4294.1</v>
      </c>
      <c r="E5" s="9" t="n">
        <v>1612.87</v>
      </c>
      <c r="F5" s="9" t="n">
        <v>6925825</v>
      </c>
      <c r="G5" s="9" t="n">
        <v>4501786</v>
      </c>
      <c r="H5" s="9" t="n">
        <v>5284781</v>
      </c>
      <c r="I5" s="8" t="inlineStr">
        <is>
          <t>✅</t>
        </is>
      </c>
    </row>
    <row r="6">
      <c r="A6" s="8" t="inlineStr">
        <is>
          <t>UK</t>
        </is>
      </c>
      <c r="B6" s="8" t="inlineStr">
        <is>
          <t>Keytruda 100mg/4mL conc for soln for inf</t>
        </is>
      </c>
      <c r="C6" s="8" t="inlineStr">
        <is>
          <t>GBP</t>
        </is>
      </c>
      <c r="D6" s="9" t="n">
        <v>5260</v>
      </c>
      <c r="E6" s="9" t="n">
        <v>1781.91</v>
      </c>
      <c r="F6" s="9" t="n">
        <v>9372846</v>
      </c>
      <c r="G6" s="9" t="n">
        <v>6842178</v>
      </c>
      <c r="H6" s="9" t="n">
        <v>7457974</v>
      </c>
      <c r="I6" s="8" t="inlineStr">
        <is>
          <t>✅</t>
        </is>
      </c>
    </row>
    <row r="7">
      <c r="A7" s="8" t="inlineStr">
        <is>
          <t>DE</t>
        </is>
      </c>
      <c r="B7" s="8" t="inlineStr">
        <is>
          <t>KEYTRUDA 25mg/mL Konzentrat</t>
        </is>
      </c>
      <c r="C7" s="8" t="inlineStr">
        <is>
          <t>EUR</t>
        </is>
      </c>
      <c r="D7" s="9" t="n">
        <v>1868.2</v>
      </c>
      <c r="E7" s="9" t="n">
        <v>1526.27</v>
      </c>
      <c r="F7" s="9" t="n">
        <v>2851377</v>
      </c>
      <c r="G7" s="9" t="n">
        <v>2110019</v>
      </c>
      <c r="H7" s="9" t="n">
        <v>2736906</v>
      </c>
      <c r="I7" s="8" t="inlineStr">
        <is>
          <t>✅</t>
        </is>
      </c>
    </row>
    <row r="9">
      <c r="A9" s="10" t="inlineStr">
        <is>
          <t>A8 통계 (B안 — IT 제외)</t>
        </is>
      </c>
    </row>
    <row r="10">
      <c r="A10" s="11" t="inlineStr">
        <is>
          <t>A8 평균</t>
        </is>
      </c>
      <c r="B10" t="inlineStr">
        <is>
          <t>4,214,690</t>
        </is>
      </c>
    </row>
    <row r="11">
      <c r="A11" s="11" t="inlineStr">
        <is>
          <t>A8 최저</t>
        </is>
      </c>
      <c r="B11" t="inlineStr">
        <is>
          <t>2,436,148  (JP)</t>
        </is>
      </c>
    </row>
    <row r="12">
      <c r="A12" s="11" t="inlineStr">
        <is>
          <t>최저 × 90%</t>
        </is>
      </c>
      <c r="B12" t="inlineStr">
        <is>
          <t>2,192,533</t>
        </is>
      </c>
    </row>
    <row r="13">
      <c r="A13" s="11" t="inlineStr">
        <is>
          <t>최저 × 80%</t>
        </is>
      </c>
      <c r="B13" t="inlineStr">
        <is>
          <t>1,948,918</t>
        </is>
      </c>
    </row>
    <row r="14">
      <c r="A14" s="11" t="inlineStr">
        <is>
          <t>최저 × 70%</t>
        </is>
      </c>
      <c r="B14" t="inlineStr">
        <is>
          <t>1,705,303</t>
        </is>
      </c>
    </row>
  </sheetData>
  <mergeCells count="6">
    <mergeCell ref="B10:D10"/>
    <mergeCell ref="B11:D11"/>
    <mergeCell ref="B14:D14"/>
    <mergeCell ref="A9:I9"/>
    <mergeCell ref="B13:D13"/>
    <mergeCell ref="B12:D1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2" customWidth="1" min="3" max="3"/>
    <col width="10" customWidth="1" min="4" max="4"/>
    <col width="14" customWidth="1" min="5" max="5"/>
    <col width="11" customWidth="1" min="6" max="6"/>
    <col width="14" customWidth="1" min="7" max="7"/>
    <col width="14" customWidth="1" min="8" max="8"/>
    <col width="7" customWidth="1" min="9" max="9"/>
    <col width="14" customWidth="1" min="10" max="10"/>
    <col width="8" customWidth="1" min="11" max="11"/>
    <col width="14" customWidth="1" min="12" max="12"/>
  </cols>
  <sheetData>
    <row r="1">
      <c r="A1" s="7" t="inlineStr">
        <is>
          <t>국가</t>
        </is>
      </c>
      <c r="B1" s="7" t="inlineStr">
        <is>
          <t>자료원</t>
        </is>
      </c>
      <c r="C1" s="7" t="inlineStr">
        <is>
          <t>현지약가</t>
        </is>
      </c>
      <c r="D1" s="7" t="inlineStr">
        <is>
          <t>환율(36mo)</t>
        </is>
      </c>
      <c r="E1" s="7" t="inlineStr">
        <is>
          <t>KRW 환산</t>
        </is>
      </c>
      <c r="F1" s="7" t="inlineStr">
        <is>
          <t>공장도비율</t>
        </is>
      </c>
      <c r="G1" s="7" t="inlineStr">
        <is>
          <t>공장도가(현지)</t>
        </is>
      </c>
      <c r="H1" s="7" t="inlineStr">
        <is>
          <t>공장도가(KRW)</t>
        </is>
      </c>
      <c r="I1" s="7" t="inlineStr">
        <is>
          <t>VAT</t>
        </is>
      </c>
      <c r="J1" s="7" t="inlineStr">
        <is>
          <t>VAT 적용</t>
        </is>
      </c>
      <c r="K1" s="7" t="inlineStr">
        <is>
          <t>마진</t>
        </is>
      </c>
      <c r="L1" s="7" t="inlineStr">
        <is>
          <t>조정가(KRW)</t>
        </is>
      </c>
    </row>
    <row r="2">
      <c r="A2" s="8" t="inlineStr">
        <is>
          <t>JP</t>
        </is>
      </c>
      <c r="B2" s="8" t="inlineStr">
        <is>
          <t>MHLW 薬価基準収載品目リスト</t>
        </is>
      </c>
      <c r="C2" s="9" t="n">
        <v>279253</v>
      </c>
      <c r="D2" s="9" t="n">
        <v>9.210000000000001</v>
      </c>
      <c r="E2" s="9" t="n">
        <v>2571920</v>
      </c>
      <c r="F2" s="8" t="inlineStr">
        <is>
          <t>HIRA 기준 0.79</t>
        </is>
      </c>
      <c r="G2" s="9" t="n">
        <v>220609.87</v>
      </c>
      <c r="H2" s="9" t="n">
        <v>2031816</v>
      </c>
      <c r="I2" s="8" t="inlineStr">
        <is>
          <t>10.0%</t>
        </is>
      </c>
      <c r="J2" s="9" t="n">
        <v>2234998</v>
      </c>
      <c r="K2" s="8" t="inlineStr">
        <is>
          <t>9%</t>
        </is>
      </c>
      <c r="L2" s="9" t="n">
        <v>2436148</v>
      </c>
    </row>
    <row r="3">
      <c r="A3" s="8" t="inlineStr">
        <is>
          <t>IT</t>
        </is>
      </c>
      <c r="B3" s="8" t="inlineStr">
        <is>
          <t>AIFA Lista Classe H (Prezzo Ex-factory)</t>
        </is>
      </c>
      <c r="C3" s="9" t="n">
        <v>3428</v>
      </c>
      <c r="D3" s="9" t="n">
        <v>1526.27</v>
      </c>
      <c r="E3" s="9" t="n">
        <v>5232053</v>
      </c>
      <c r="F3" s="8" t="inlineStr">
        <is>
          <t>Ex-factory (직접)</t>
        </is>
      </c>
      <c r="G3" s="9" t="n">
        <v>3428</v>
      </c>
      <c r="H3" s="9" t="n">
        <v>5232053</v>
      </c>
      <c r="I3" s="8" t="inlineStr">
        <is>
          <t>10.0%</t>
        </is>
      </c>
      <c r="J3" s="9" t="n">
        <v>5755258</v>
      </c>
      <c r="K3" s="8" t="inlineStr">
        <is>
          <t>9%</t>
        </is>
      </c>
      <c r="L3" s="9" t="n">
        <v>6273232</v>
      </c>
    </row>
    <row r="4">
      <c r="A4" s="8" t="inlineStr">
        <is>
          <t>FR</t>
        </is>
      </c>
      <c r="B4" s="8" t="inlineStr">
        <is>
          <t>Vidal.fr (Prix public hôpital)</t>
        </is>
      </c>
      <c r="C4" s="9" t="n">
        <v>2860</v>
      </c>
      <c r="D4" s="9" t="n">
        <v>1526.27</v>
      </c>
      <c r="E4" s="9" t="n">
        <v>4365132</v>
      </c>
      <c r="F4" s="8" t="inlineStr">
        <is>
          <t>Vidal 0.65</t>
        </is>
      </c>
      <c r="G4" s="9" t="n">
        <v>1859</v>
      </c>
      <c r="H4" s="9" t="n">
        <v>2837335</v>
      </c>
      <c r="I4" s="8" t="inlineStr">
        <is>
          <t>2.1%</t>
        </is>
      </c>
      <c r="J4" s="9" t="n">
        <v>2896919</v>
      </c>
      <c r="K4" s="8" t="inlineStr">
        <is>
          <t>9%</t>
        </is>
      </c>
      <c r="L4" s="9" t="n">
        <v>3157642</v>
      </c>
    </row>
    <row r="5">
      <c r="A5" s="8" t="inlineStr">
        <is>
          <t>CH</t>
        </is>
      </c>
      <c r="B5" s="8" t="inlineStr">
        <is>
          <t>compendium.ch (Publikumspreis, SL)</t>
        </is>
      </c>
      <c r="C5" s="9" t="n">
        <v>4294.1</v>
      </c>
      <c r="D5" s="9" t="n">
        <v>1612.87</v>
      </c>
      <c r="E5" s="9" t="n">
        <v>6925825</v>
      </c>
      <c r="F5" s="8" t="inlineStr">
        <is>
          <t>Compendium 0.65</t>
        </is>
      </c>
      <c r="G5" s="9" t="n">
        <v>2791.17</v>
      </c>
      <c r="H5" s="9" t="n">
        <v>4501786</v>
      </c>
      <c r="I5" s="8" t="inlineStr">
        <is>
          <t>7.7%</t>
        </is>
      </c>
      <c r="J5" s="9" t="n">
        <v>4848423</v>
      </c>
      <c r="K5" s="8" t="inlineStr">
        <is>
          <t>9%</t>
        </is>
      </c>
      <c r="L5" s="9" t="n">
        <v>5284781</v>
      </c>
    </row>
    <row r="6">
      <c r="A6" s="8" t="inlineStr">
        <is>
          <t>UK</t>
        </is>
      </c>
      <c r="B6" s="8" t="inlineStr">
        <is>
          <t>MIMS online (UK public price)</t>
        </is>
      </c>
      <c r="C6" s="9" t="n">
        <v>5260</v>
      </c>
      <c r="D6" s="9" t="n">
        <v>1781.91</v>
      </c>
      <c r="E6" s="9" t="n">
        <v>9372846</v>
      </c>
      <c r="F6" s="8" t="inlineStr">
        <is>
          <t>HIRA 기준 0.73</t>
        </is>
      </c>
      <c r="G6" s="9" t="n">
        <v>3839.8</v>
      </c>
      <c r="H6" s="9" t="n">
        <v>6842178</v>
      </c>
      <c r="I6" s="8" t="inlineStr">
        <is>
          <t>0.0%</t>
        </is>
      </c>
      <c r="J6" s="9" t="n">
        <v>6842178</v>
      </c>
      <c r="K6" s="8" t="inlineStr">
        <is>
          <t>9%</t>
        </is>
      </c>
      <c r="L6" s="9" t="n">
        <v>7457974</v>
      </c>
    </row>
    <row r="7">
      <c r="A7" s="8" t="inlineStr">
        <is>
          <t>DE</t>
        </is>
      </c>
      <c r="B7" s="8" t="inlineStr">
        <is>
          <t>Rote Liste (AVP, DocCheck)</t>
        </is>
      </c>
      <c r="C7" s="9" t="n">
        <v>1868.2</v>
      </c>
      <c r="D7" s="9" t="n">
        <v>1526.27</v>
      </c>
      <c r="E7" s="9" t="n">
        <v>2851377</v>
      </c>
      <c r="F7" s="8" t="inlineStr">
        <is>
          <t>독일 특수공식</t>
        </is>
      </c>
      <c r="G7" s="9" t="n">
        <v>1382.47</v>
      </c>
      <c r="H7" s="9" t="n">
        <v>2110019</v>
      </c>
      <c r="I7" s="8" t="inlineStr">
        <is>
          <t>19.0%</t>
        </is>
      </c>
      <c r="J7" s="9" t="n">
        <v>2510923</v>
      </c>
      <c r="K7" s="8" t="inlineStr">
        <is>
          <t>9%</t>
        </is>
      </c>
      <c r="L7" s="9" t="n">
        <v>2736906</v>
      </c>
    </row>
    <row r="9">
      <c r="A9" s="12" t="inlineStr">
        <is>
          <t>계산 공식</t>
        </is>
      </c>
    </row>
    <row r="10">
      <c r="A10" t="inlineStr">
        <is>
          <t>• 현지약가 × 환율 = KRW 환산</t>
        </is>
      </c>
    </row>
    <row r="11">
      <c r="A11" t="inlineStr">
        <is>
          <t>• KRW 환산 × 공장도비율 = 공장도가(KRW)    (IT: Ex-factory 직접 사용)</t>
        </is>
      </c>
    </row>
    <row r="12">
      <c r="A12" t="inlineStr">
        <is>
          <t>• 공장도가(KRW) × (1 + VAT) = VAT 적용가</t>
        </is>
      </c>
    </row>
    <row r="13">
      <c r="A13" t="inlineStr">
        <is>
          <t>• VAT 적용가 × (1 + 유통마진) = 조정가(KRW)</t>
        </is>
      </c>
    </row>
    <row r="14">
      <c r="A14" t="inlineStr">
        <is>
          <t>• 환율: KEB하나은행 36개월 평균 (기본값, Assumptions 시트에서 수정 가능)</t>
        </is>
      </c>
    </row>
    <row r="15">
      <c r="A15" t="inlineStr">
        <is>
          <t>• 공장도비율: HIRA 고시값 (국가별 상이 — JP 0.79 / IT 1.00 / FR 0.65 / CH 0.65 / UK 0.73 / DE 특수)</t>
        </is>
      </c>
    </row>
  </sheetData>
  <mergeCells count="7">
    <mergeCell ref="A15:L15"/>
    <mergeCell ref="A10:L10"/>
    <mergeCell ref="A11:L11"/>
    <mergeCell ref="A13:L13"/>
    <mergeCell ref="A14:L14"/>
    <mergeCell ref="A9:L9"/>
    <mergeCell ref="A12:L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55" customWidth="1" min="3" max="3"/>
    <col width="18" customWidth="1" min="4" max="4"/>
    <col width="38" customWidth="1" min="5" max="5"/>
    <col width="12" customWidth="1" min="6" max="6"/>
    <col width="10" customWidth="1" min="7" max="7"/>
  </cols>
  <sheetData>
    <row r="1">
      <c r="A1" s="7" t="inlineStr">
        <is>
          <t>국가</t>
        </is>
      </c>
      <c r="B1" s="7" t="inlineStr">
        <is>
          <t>사이트</t>
        </is>
      </c>
      <c r="C1" s="7" t="inlineStr">
        <is>
          <t>URL</t>
        </is>
      </c>
      <c r="D1" s="7" t="inlineStr">
        <is>
          <t>조회일시</t>
        </is>
      </c>
      <c r="E1" s="7" t="inlineStr">
        <is>
          <t>매칭 제품명</t>
        </is>
      </c>
      <c r="F1" s="7" t="inlineStr">
        <is>
          <t>원본 가격</t>
        </is>
      </c>
      <c r="G1" s="7" t="inlineStr">
        <is>
          <t>통화</t>
        </is>
      </c>
    </row>
    <row r="2">
      <c r="A2" s="13" t="inlineStr">
        <is>
          <t>JP</t>
        </is>
      </c>
      <c r="B2" s="13" t="inlineStr">
        <is>
          <t>MHLW 薬価基準収載品目リスト</t>
        </is>
      </c>
      <c r="C2" s="14" t="inlineStr">
        <is>
          <t>https://www.mhlw.go.jp/topics/2024/04/tp20240401-01.html</t>
        </is>
      </c>
      <c r="D2" s="13" t="inlineStr">
        <is>
          <t>2026-04-15 14:22</t>
        </is>
      </c>
      <c r="E2" s="13" t="inlineStr">
        <is>
          <t>キイトルーダ点滴静注100mg 4mL</t>
        </is>
      </c>
      <c r="F2" s="13" t="n">
        <v>279253</v>
      </c>
      <c r="G2" s="13" t="inlineStr">
        <is>
          <t>JPY</t>
        </is>
      </c>
    </row>
    <row r="3">
      <c r="A3" s="13" t="inlineStr">
        <is>
          <t>IT</t>
        </is>
      </c>
      <c r="B3" s="13" t="inlineStr">
        <is>
          <t>AIFA Lista Classe H (Prezzo Ex-factory)</t>
        </is>
      </c>
      <c r="C3" s="14" t="inlineStr">
        <is>
          <t>https://www.aifa.gov.it/en/liste-farmaci-a-h</t>
        </is>
      </c>
      <c r="D3" s="13" t="inlineStr">
        <is>
          <t>2026-04-16 10:52</t>
        </is>
      </c>
      <c r="E3" s="13" t="inlineStr">
        <is>
          <t>KEYTRUDA 1 flaconcino infus EV 4mL 25mg/mL</t>
        </is>
      </c>
      <c r="F3" s="13" t="n">
        <v>3428</v>
      </c>
      <c r="G3" s="13" t="inlineStr">
        <is>
          <t>EUR</t>
        </is>
      </c>
    </row>
    <row r="4">
      <c r="A4" s="13" t="inlineStr">
        <is>
          <t>FR</t>
        </is>
      </c>
      <c r="B4" s="13" t="inlineStr">
        <is>
          <t>Vidal.fr (Prix public hôpital)</t>
        </is>
      </c>
      <c r="C4" s="14" t="inlineStr">
        <is>
          <t>https://www.vidal.fr/medicaments/keytruda-25-mg-ml-sol-diluer-p-perf-173141.html</t>
        </is>
      </c>
      <c r="D4" s="13" t="inlineStr">
        <is>
          <t>2026-04-15 14:30</t>
        </is>
      </c>
      <c r="E4" s="13" t="inlineStr">
        <is>
          <t>KEYTRUDA 25mg/mL sol diluer p perf 4mL</t>
        </is>
      </c>
      <c r="F4" s="13" t="n">
        <v>2860</v>
      </c>
      <c r="G4" s="13" t="inlineStr">
        <is>
          <t>EUR</t>
        </is>
      </c>
    </row>
    <row r="5">
      <c r="A5" s="13" t="inlineStr">
        <is>
          <t>CH</t>
        </is>
      </c>
      <c r="B5" s="13" t="inlineStr">
        <is>
          <t>compendium.ch (Publikumspreis, SL)</t>
        </is>
      </c>
      <c r="C5" s="14" t="inlineStr">
        <is>
          <t>https://www.compendium.ch/product/1346803/keytruda</t>
        </is>
      </c>
      <c r="D5" s="13" t="inlineStr">
        <is>
          <t>2026-04-16 07:32</t>
        </is>
      </c>
      <c r="E5" s="13" t="inlineStr">
        <is>
          <t>KEYTRUDA Inf Konz 100mg/4mL</t>
        </is>
      </c>
      <c r="F5" s="13" t="n">
        <v>4294.1</v>
      </c>
      <c r="G5" s="13" t="inlineStr">
        <is>
          <t>CHF</t>
        </is>
      </c>
    </row>
    <row r="6">
      <c r="A6" s="13" t="inlineStr">
        <is>
          <t>UK</t>
        </is>
      </c>
      <c r="B6" s="13" t="inlineStr">
        <is>
          <t>MIMS online (UK public price)</t>
        </is>
      </c>
      <c r="C6" s="14" t="inlineStr">
        <is>
          <t>https://www.mims.co.uk/drugs/cancer/antineoplastics/keytruda</t>
        </is>
      </c>
      <c r="D6" s="13" t="inlineStr">
        <is>
          <t>2026-04-16 10:52</t>
        </is>
      </c>
      <c r="E6" s="13" t="inlineStr">
        <is>
          <t>Keytruda 100mg/4mL conc for soln for inf</t>
        </is>
      </c>
      <c r="F6" s="13" t="n">
        <v>5260</v>
      </c>
      <c r="G6" s="13" t="inlineStr">
        <is>
          <t>GBP</t>
        </is>
      </c>
    </row>
    <row r="7">
      <c r="A7" s="13" t="inlineStr">
        <is>
          <t>DE</t>
        </is>
      </c>
      <c r="B7" s="13" t="inlineStr">
        <is>
          <t>Rote Liste (AVP, DocCheck)</t>
        </is>
      </c>
      <c r="C7" s="14" t="inlineStr">
        <is>
          <t>https://www.rote-liste.de/rle/detail/26358-0/KEYTRUDA</t>
        </is>
      </c>
      <c r="D7" s="13" t="inlineStr">
        <is>
          <t>2026-04-16 07:32</t>
        </is>
      </c>
      <c r="E7" s="13" t="inlineStr">
        <is>
          <t>KEYTRUDA 25mg/mL Konzentrat</t>
        </is>
      </c>
      <c r="F7" s="13" t="n">
        <v>1868.2</v>
      </c>
      <c r="G7" s="13" t="inlineStr">
        <is>
          <t>EUR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38" customWidth="1" min="3" max="3"/>
    <col width="10" customWidth="1" min="4" max="4"/>
    <col width="22" customWidth="1" min="5" max="5"/>
    <col width="14" customWidth="1" min="6" max="6"/>
    <col width="18" customWidth="1" min="7" max="7"/>
    <col width="30" customWidth="1" min="8" max="8"/>
  </cols>
  <sheetData>
    <row r="1">
      <c r="A1" s="7" t="inlineStr">
        <is>
          <t>국가</t>
        </is>
      </c>
      <c r="B1" s="7" t="inlineStr">
        <is>
          <t>소스</t>
        </is>
      </c>
      <c r="C1" s="7" t="inlineStr">
        <is>
          <t>추출 제품명</t>
        </is>
      </c>
      <c r="D1" s="7" t="inlineStr">
        <is>
          <t>제형</t>
        </is>
      </c>
      <c r="E1" s="7" t="inlineStr">
        <is>
          <t>강도</t>
        </is>
      </c>
      <c r="F1" s="7" t="inlineStr">
        <is>
          <t>Pack</t>
        </is>
      </c>
      <c r="G1" s="7" t="inlineStr">
        <is>
          <t>국내 매칭</t>
        </is>
      </c>
      <c r="H1" s="7" t="inlineStr">
        <is>
          <t>일관성 등급</t>
        </is>
      </c>
    </row>
    <row r="2">
      <c r="A2" s="13" t="inlineStr">
        <is>
          <t>JP</t>
        </is>
      </c>
      <c r="B2" s="13" t="inlineStr">
        <is>
          <t>MHLW 薬価基準収載品目リスト</t>
        </is>
      </c>
      <c r="C2" s="13" t="inlineStr">
        <is>
          <t>キイトルーダ点滴静注100mg 4mL</t>
        </is>
      </c>
      <c r="D2" s="13" t="inlineStr">
        <is>
          <t>주사제</t>
        </is>
      </c>
      <c r="E2" s="13" t="inlineStr">
        <is>
          <t>100mg/4mL</t>
        </is>
      </c>
      <c r="F2" s="13" t="inlineStr">
        <is>
          <t>1 vial</t>
        </is>
      </c>
      <c r="G2" s="13" t="inlineStr">
        <is>
          <t>100mg / 4mL / 1 vial</t>
        </is>
      </c>
      <c r="H2" s="13" t="inlineStr">
        <is>
          <t>🟢 Exact</t>
        </is>
      </c>
    </row>
    <row r="3">
      <c r="A3" s="13" t="inlineStr">
        <is>
          <t>IT</t>
        </is>
      </c>
      <c r="B3" s="13" t="inlineStr">
        <is>
          <t>AIFA Lista Classe H (Prezzo Ex-factory)</t>
        </is>
      </c>
      <c r="C3" s="13" t="inlineStr">
        <is>
          <t>KEYTRUDA 1 flaconcino infus EV 4mL 25mg/mL</t>
        </is>
      </c>
      <c r="D3" s="13" t="inlineStr">
        <is>
          <t>주사제</t>
        </is>
      </c>
      <c r="E3" s="13" t="inlineStr">
        <is>
          <t>25mg/mL × 4mL = 100mg</t>
        </is>
      </c>
      <c r="F3" s="13" t="inlineStr">
        <is>
          <t>1 flaconcino</t>
        </is>
      </c>
      <c r="G3" s="13" t="inlineStr">
        <is>
          <t>100mg / 4mL / 1 vial</t>
        </is>
      </c>
      <c r="H3" s="13" t="inlineStr">
        <is>
          <t>🟡 Strength-eq</t>
        </is>
      </c>
    </row>
    <row r="4">
      <c r="A4" s="13" t="inlineStr">
        <is>
          <t>FR</t>
        </is>
      </c>
      <c r="B4" s="13" t="inlineStr">
        <is>
          <t>Vidal.fr (Prix public hôpital)</t>
        </is>
      </c>
      <c r="C4" s="13" t="inlineStr">
        <is>
          <t>KEYTRUDA 25mg/mL sol diluer p perf 4mL</t>
        </is>
      </c>
      <c r="D4" s="13" t="inlineStr">
        <is>
          <t>주사제</t>
        </is>
      </c>
      <c r="E4" s="13" t="inlineStr">
        <is>
          <t>25mg/mL × 4mL = 100mg</t>
        </is>
      </c>
      <c r="F4" s="13" t="inlineStr">
        <is>
          <t>1 flacon</t>
        </is>
      </c>
      <c r="G4" s="13" t="inlineStr">
        <is>
          <t>100mg / 4mL / 1 vial</t>
        </is>
      </c>
      <c r="H4" s="13" t="inlineStr">
        <is>
          <t>🟡 Strength-eq</t>
        </is>
      </c>
    </row>
    <row r="5">
      <c r="A5" s="13" t="inlineStr">
        <is>
          <t>CH</t>
        </is>
      </c>
      <c r="B5" s="13" t="inlineStr">
        <is>
          <t>compendium.ch (Publikumspreis, SL)</t>
        </is>
      </c>
      <c r="C5" s="13" t="inlineStr">
        <is>
          <t>KEYTRUDA Inf Konz 100mg/4mL</t>
        </is>
      </c>
      <c r="D5" s="13" t="inlineStr">
        <is>
          <t>주사제</t>
        </is>
      </c>
      <c r="E5" s="13" t="inlineStr">
        <is>
          <t>100mg/4mL</t>
        </is>
      </c>
      <c r="F5" s="13" t="inlineStr">
        <is>
          <t>1 vial</t>
        </is>
      </c>
      <c r="G5" s="13" t="inlineStr">
        <is>
          <t>100mg / 4mL / 1 vial</t>
        </is>
      </c>
      <c r="H5" s="13" t="inlineStr">
        <is>
          <t>🟢 Exact</t>
        </is>
      </c>
    </row>
    <row r="6">
      <c r="A6" s="13" t="inlineStr">
        <is>
          <t>UK</t>
        </is>
      </c>
      <c r="B6" s="13" t="inlineStr">
        <is>
          <t>MIMS online (UK public price)</t>
        </is>
      </c>
      <c r="C6" s="13" t="inlineStr">
        <is>
          <t>Keytruda 100mg/4mL conc for soln for inf</t>
        </is>
      </c>
      <c r="D6" s="13" t="inlineStr">
        <is>
          <t>주사제</t>
        </is>
      </c>
      <c r="E6" s="13" t="inlineStr">
        <is>
          <t>100mg/4mL</t>
        </is>
      </c>
      <c r="F6" s="13" t="inlineStr">
        <is>
          <t>1 vial</t>
        </is>
      </c>
      <c r="G6" s="13" t="inlineStr">
        <is>
          <t>100mg / 4mL / 1 vial</t>
        </is>
      </c>
      <c r="H6" s="13" t="inlineStr">
        <is>
          <t>🟢 Exact</t>
        </is>
      </c>
    </row>
    <row r="7">
      <c r="A7" s="13" t="inlineStr">
        <is>
          <t>DE</t>
        </is>
      </c>
      <c r="B7" s="13" t="inlineStr">
        <is>
          <t>Rote Liste (AVP, DocCheck)</t>
        </is>
      </c>
      <c r="C7" s="13" t="inlineStr">
        <is>
          <t>KEYTRUDA 25mg/mL Konzentrat</t>
        </is>
      </c>
      <c r="D7" s="13" t="inlineStr">
        <is>
          <t>주사제</t>
        </is>
      </c>
      <c r="E7" s="13" t="inlineStr">
        <is>
          <t>25mg/mL × 4mL = 100mg</t>
        </is>
      </c>
      <c r="F7" s="13" t="inlineStr">
        <is>
          <t>1 vial</t>
        </is>
      </c>
      <c r="G7" s="13" t="inlineStr">
        <is>
          <t>100mg / 4mL / 1 vial</t>
        </is>
      </c>
      <c r="H7" s="13" t="inlineStr">
        <is>
          <t>🟡 Strength-eq</t>
        </is>
      </c>
    </row>
    <row r="9">
      <c r="A9" s="12" t="inlineStr">
        <is>
          <t>일관성 등급 — 데이터 일관성 내부 검증용 (심평원 심사 영역 아님)</t>
        </is>
      </c>
    </row>
    <row r="10">
      <c r="A10" t="inlineStr">
        <is>
          <t>🟢 Exact          : 국내 기준 SKU 와 동일 (100mg/4mL/vial)</t>
        </is>
      </c>
    </row>
    <row r="11">
      <c r="A11" t="inlineStr">
        <is>
          <t>🟡 Strength-eq    : 강도/포장 환산 필요 (예: 25mg/mL × 4mL = 100mg)</t>
        </is>
      </c>
    </row>
    <row r="12">
      <c r="A12" t="inlineStr">
        <is>
          <t>🔴 Mismatch       : 매칭 실패 — 사용자 수동 확인 필요</t>
        </is>
      </c>
    </row>
  </sheetData>
  <mergeCells count="4">
    <mergeCell ref="A9:H9"/>
    <mergeCell ref="A12:H12"/>
    <mergeCell ref="A11:H11"/>
    <mergeCell ref="A10:H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40" customWidth="1" min="8" max="8"/>
  </cols>
  <sheetData>
    <row r="1">
      <c r="A1" s="15" t="inlineStr">
        <is>
          <t>HTA Matrix — Phase 2 에서 채움</t>
        </is>
      </c>
    </row>
    <row r="2">
      <c r="A2" s="16" t="inlineStr">
        <is>
          <t>Phase 1 MVP 에서는 빈 시트로 유지. Phase 2 진입 시 적응증별 국가 매트릭스 채움.</t>
        </is>
      </c>
    </row>
    <row r="4">
      <c r="A4" s="7" t="inlineStr">
        <is>
          <t>적응증</t>
        </is>
      </c>
      <c r="B4" s="7" t="inlineStr">
        <is>
          <t>FDA</t>
        </is>
      </c>
      <c r="C4" s="7" t="inlineStr">
        <is>
          <t>EMA</t>
        </is>
      </c>
      <c r="D4" s="7" t="inlineStr">
        <is>
          <t>PBAC</t>
        </is>
      </c>
      <c r="E4" s="7" t="inlineStr">
        <is>
          <t>CADTH</t>
        </is>
      </c>
      <c r="F4" s="7" t="inlineStr">
        <is>
          <t>NICE</t>
        </is>
      </c>
      <c r="G4" s="7" t="inlineStr">
        <is>
          <t>SMC</t>
        </is>
      </c>
      <c r="H4" s="7" t="inlineStr">
        <is>
          <t>A8 가격형성 영향</t>
        </is>
      </c>
    </row>
    <row r="5">
      <c r="A5" s="17" t="inlineStr">
        <is>
          <t>1L NSCLC (단독)</t>
        </is>
      </c>
      <c r="B5" s="17" t="inlineStr">
        <is>
          <t>✅</t>
        </is>
      </c>
      <c r="C5" s="17" t="inlineStr">
        <is>
          <t>✅</t>
        </is>
      </c>
      <c r="D5" s="17" t="inlineStr">
        <is>
          <t>✅</t>
        </is>
      </c>
      <c r="E5" s="17" t="inlineStr">
        <is>
          <t>✅</t>
        </is>
      </c>
      <c r="F5" s="17" t="inlineStr">
        <is>
          <t>✅</t>
        </is>
      </c>
      <c r="G5" s="17" t="inlineStr">
        <is>
          <t>✅</t>
        </is>
      </c>
      <c r="H5" s="17" t="inlineStr">
        <is>
          <t>전 국가 공통 — 기본 근거 적응증</t>
        </is>
      </c>
    </row>
    <row r="6">
      <c r="A6" s="17" t="inlineStr">
        <is>
          <t>1L NSCLC (Pembro+Chemo)</t>
        </is>
      </c>
      <c r="B6" s="17" t="inlineStr">
        <is>
          <t>✅</t>
        </is>
      </c>
      <c r="C6" s="17" t="inlineStr">
        <is>
          <t>✅</t>
        </is>
      </c>
      <c r="D6" s="17" t="inlineStr">
        <is>
          <t>✅</t>
        </is>
      </c>
      <c r="E6" s="17" t="inlineStr">
        <is>
          <t>❌</t>
        </is>
      </c>
      <c r="F6" s="17" t="inlineStr">
        <is>
          <t>✅</t>
        </is>
      </c>
      <c r="G6" s="17" t="inlineStr">
        <is>
          <t>⚠️</t>
        </is>
      </c>
      <c r="H6" s="17" t="inlineStr">
        <is>
          <t>CADTH 미급여 → A8 내 가격 낮음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  <col width="30" customWidth="1" min="4" max="4"/>
  </cols>
  <sheetData>
    <row r="1">
      <c r="A1" s="10" t="inlineStr">
        <is>
          <t>가정치 명세 — 대시보드에서 편집 가능</t>
        </is>
      </c>
    </row>
    <row r="2">
      <c r="A2" s="16" t="inlineStr">
        <is>
          <t>HIRA 고시값이 기본값. 변경 시 Audit Log 에 기록됨.</t>
        </is>
      </c>
    </row>
    <row r="4">
      <c r="A4" s="7" t="inlineStr">
        <is>
          <t>항목</t>
        </is>
      </c>
      <c r="B4" s="7" t="inlineStr">
        <is>
          <t>값</t>
        </is>
      </c>
      <c r="C4" s="7" t="inlineStr">
        <is>
          <t>출처</t>
        </is>
      </c>
      <c r="D4" s="7" t="inlineStr">
        <is>
          <t>비고</t>
        </is>
      </c>
    </row>
    <row r="5">
      <c r="A5" s="3" t="inlineStr">
        <is>
          <t>[환율 — KEB하나은행 36개월 평균]</t>
        </is>
      </c>
      <c r="B5" s="4" t="inlineStr"/>
      <c r="C5" s="4" t="inlineStr"/>
      <c r="D5" s="4" t="inlineStr"/>
    </row>
    <row r="6">
      <c r="A6" s="18" t="inlineStr">
        <is>
          <t>JPY → KRW</t>
        </is>
      </c>
      <c r="B6" s="13" t="n">
        <v>9.210000000000001</v>
      </c>
      <c r="C6" s="13" t="inlineStr">
        <is>
          <t>기준기간 2023-04 ~ 2026-03</t>
        </is>
      </c>
      <c r="D6" s="13" t="inlineStr"/>
    </row>
    <row r="7">
      <c r="A7" s="18" t="inlineStr">
        <is>
          <t>EUR → KRW</t>
        </is>
      </c>
      <c r="B7" s="13" t="n">
        <v>1526.27</v>
      </c>
      <c r="C7" s="13" t="inlineStr">
        <is>
          <t>기준기간 2023-04 ~ 2026-03</t>
        </is>
      </c>
      <c r="D7" s="13" t="inlineStr"/>
    </row>
    <row r="8">
      <c r="A8" s="18" t="inlineStr">
        <is>
          <t>CHF → KRW</t>
        </is>
      </c>
      <c r="B8" s="13" t="n">
        <v>1612.87</v>
      </c>
      <c r="C8" s="13" t="inlineStr">
        <is>
          <t>기준기간 2023-04 ~ 2026-03</t>
        </is>
      </c>
      <c r="D8" s="13" t="inlineStr"/>
    </row>
    <row r="9">
      <c r="A9" s="18" t="inlineStr">
        <is>
          <t>GBP → KRW</t>
        </is>
      </c>
      <c r="B9" s="13" t="n">
        <v>1781.91</v>
      </c>
      <c r="C9" s="13" t="inlineStr">
        <is>
          <t>기준기간 2023-04 ~ 2026-03</t>
        </is>
      </c>
      <c r="D9" s="13" t="inlineStr"/>
    </row>
    <row r="10">
      <c r="A10" s="19" t="inlineStr"/>
      <c r="B10" s="4" t="inlineStr"/>
      <c r="C10" s="4" t="inlineStr"/>
      <c r="D10" s="4" t="inlineStr"/>
    </row>
    <row r="11">
      <c r="A11" s="3" t="inlineStr">
        <is>
          <t>[공장도비율 — HIRA 고시]</t>
        </is>
      </c>
      <c r="B11" s="4" t="inlineStr"/>
      <c r="C11" s="4" t="inlineStr"/>
      <c r="D11" s="4" t="inlineStr"/>
    </row>
    <row r="12">
      <c r="A12" s="18" t="inlineStr">
        <is>
          <t>JP</t>
        </is>
      </c>
      <c r="B12" s="13" t="n">
        <v>0.79</v>
      </c>
      <c r="C12" s="13" t="inlineStr">
        <is>
          <t>HIRA 고시</t>
        </is>
      </c>
      <c r="D12" s="13" t="inlineStr"/>
    </row>
    <row r="13">
      <c r="A13" s="18" t="inlineStr">
        <is>
          <t>IT</t>
        </is>
      </c>
      <c r="B13" s="13" t="n">
        <v>1</v>
      </c>
      <c r="C13" s="13" t="inlineStr">
        <is>
          <t>AIFA Ex-factory 직접</t>
        </is>
      </c>
      <c r="D13" s="13" t="inlineStr">
        <is>
          <t>특수: 비율 적용 X</t>
        </is>
      </c>
    </row>
    <row r="14">
      <c r="A14" s="18" t="inlineStr">
        <is>
          <t>FR</t>
        </is>
      </c>
      <c r="B14" s="13" t="n">
        <v>0.65</v>
      </c>
      <c r="C14" s="13" t="inlineStr">
        <is>
          <t>Vidal 기준</t>
        </is>
      </c>
      <c r="D14" s="13" t="inlineStr"/>
    </row>
    <row r="15">
      <c r="A15" s="18" t="inlineStr">
        <is>
          <t>CH</t>
        </is>
      </c>
      <c r="B15" s="13" t="n">
        <v>0.65</v>
      </c>
      <c r="C15" s="13" t="inlineStr">
        <is>
          <t>Compendium 기준</t>
        </is>
      </c>
      <c r="D15" s="13" t="inlineStr"/>
    </row>
    <row r="16">
      <c r="A16" s="18" t="inlineStr">
        <is>
          <t>UK</t>
        </is>
      </c>
      <c r="B16" s="13" t="n">
        <v>0.73</v>
      </c>
      <c r="C16" s="13" t="inlineStr">
        <is>
          <t>HIRA 고시</t>
        </is>
      </c>
      <c r="D16" s="13" t="inlineStr"/>
    </row>
    <row r="17">
      <c r="A17" s="18" t="inlineStr">
        <is>
          <t>DE</t>
        </is>
      </c>
      <c r="B17" s="13" t="n">
        <v>0.74</v>
      </c>
      <c r="C17" s="13" t="inlineStr">
        <is>
          <t>독일 특수공식 (HIRA 고시)</t>
        </is>
      </c>
      <c r="D17" s="13" t="inlineStr"/>
    </row>
    <row r="18">
      <c r="A18" s="19" t="inlineStr"/>
      <c r="B18" s="4" t="inlineStr"/>
      <c r="C18" s="4" t="inlineStr"/>
      <c r="D18" s="4" t="inlineStr"/>
    </row>
    <row r="19">
      <c r="A19" s="3" t="inlineStr">
        <is>
          <t>[VAT — 각국 세법]</t>
        </is>
      </c>
      <c r="B19" s="4" t="inlineStr"/>
      <c r="C19" s="4" t="inlineStr"/>
      <c r="D19" s="4" t="inlineStr"/>
    </row>
    <row r="20">
      <c r="A20" s="18" t="inlineStr">
        <is>
          <t>JP</t>
        </is>
      </c>
      <c r="B20" s="13" t="inlineStr">
        <is>
          <t>10.0%</t>
        </is>
      </c>
      <c r="C20" s="13" t="inlineStr">
        <is>
          <t>소비세</t>
        </is>
      </c>
      <c r="D20" s="13" t="inlineStr"/>
    </row>
    <row r="21">
      <c r="A21" s="18" t="inlineStr">
        <is>
          <t>IT</t>
        </is>
      </c>
      <c r="B21" s="13" t="inlineStr">
        <is>
          <t>10.0%</t>
        </is>
      </c>
      <c r="C21" s="13" t="inlineStr">
        <is>
          <t>의약품 경감세율</t>
        </is>
      </c>
      <c r="D21" s="13" t="inlineStr"/>
    </row>
    <row r="22">
      <c r="A22" s="18" t="inlineStr">
        <is>
          <t>FR</t>
        </is>
      </c>
      <c r="B22" s="13" t="inlineStr">
        <is>
          <t>2.1%</t>
        </is>
      </c>
      <c r="C22" s="13" t="inlineStr">
        <is>
          <t>의약품 경감세율</t>
        </is>
      </c>
      <c r="D22" s="13" t="inlineStr"/>
    </row>
    <row r="23">
      <c r="A23" s="18" t="inlineStr">
        <is>
          <t>CH</t>
        </is>
      </c>
      <c r="B23" s="13" t="inlineStr">
        <is>
          <t>7.7%</t>
        </is>
      </c>
      <c r="C23" s="13" t="inlineStr">
        <is>
          <t>표준세율</t>
        </is>
      </c>
      <c r="D23" s="13" t="inlineStr"/>
    </row>
    <row r="24">
      <c r="A24" s="18" t="inlineStr">
        <is>
          <t>UK</t>
        </is>
      </c>
      <c r="B24" s="13" t="inlineStr">
        <is>
          <t>0.0%</t>
        </is>
      </c>
      <c r="C24" s="13" t="inlineStr">
        <is>
          <t>의약품 VAT 면제</t>
        </is>
      </c>
      <c r="D24" s="13" t="inlineStr"/>
    </row>
    <row r="25">
      <c r="A25" s="18" t="inlineStr">
        <is>
          <t>DE</t>
        </is>
      </c>
      <c r="B25" s="13" t="inlineStr">
        <is>
          <t>19.0%</t>
        </is>
      </c>
      <c r="C25" s="13" t="inlineStr">
        <is>
          <t>표준세율</t>
        </is>
      </c>
      <c r="D25" s="13" t="inlineStr"/>
    </row>
    <row r="26">
      <c r="A26" s="19" t="inlineStr"/>
      <c r="B26" s="4" t="inlineStr"/>
      <c r="C26" s="4" t="inlineStr"/>
      <c r="D26" s="4" t="inlineStr"/>
    </row>
    <row r="27">
      <c r="A27" s="3" t="inlineStr">
        <is>
          <t>[유통마진]</t>
        </is>
      </c>
      <c r="B27" s="4" t="inlineStr"/>
      <c r="C27" s="4" t="inlineStr"/>
      <c r="D27" s="4" t="inlineStr"/>
    </row>
    <row r="28">
      <c r="A28" s="18" t="inlineStr">
        <is>
          <t>HIRA 표준 유통거래폭</t>
        </is>
      </c>
      <c r="B28" s="13" t="inlineStr">
        <is>
          <t>9.0%</t>
        </is>
      </c>
      <c r="C28" s="13" t="inlineStr">
        <is>
          <t>HIRA 고시</t>
        </is>
      </c>
      <c r="D28" s="13" t="inlineStr">
        <is>
          <t>전 국가 공통 적용</t>
        </is>
      </c>
    </row>
    <row r="29">
      <c r="A29" s="19" t="inlineStr"/>
      <c r="B29" s="4" t="inlineStr"/>
      <c r="C29" s="4" t="inlineStr"/>
      <c r="D29" s="4" t="inlineStr"/>
    </row>
    <row r="30">
      <c r="A30" s="3" t="inlineStr">
        <is>
          <t>[제외 국가 — 시나리오 B 한정]</t>
        </is>
      </c>
      <c r="B30" s="4" t="inlineStr"/>
      <c r="C30" s="4" t="inlineStr"/>
      <c r="D30" s="4" t="inlineStr"/>
    </row>
    <row r="31">
      <c r="A31" s="18" t="inlineStr">
        <is>
          <t>IT</t>
        </is>
      </c>
      <c r="B31" s="13" t="inlineStr">
        <is>
          <t>제외</t>
        </is>
      </c>
      <c r="C31" s="13" t="inlineStr">
        <is>
          <t>가격 변동성</t>
        </is>
      </c>
      <c r="D31" s="13" t="inlineStr">
        <is>
          <t>최근 6개월 AIFA 재분류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5" customWidth="1" min="3" max="3"/>
    <col width="25" customWidth="1" min="4" max="4"/>
  </cols>
  <sheetData>
    <row r="1">
      <c r="A1" s="20" t="inlineStr">
        <is>
          <t>시나리오 비교</t>
        </is>
      </c>
    </row>
    <row r="3">
      <c r="A3" s="7" t="inlineStr">
        <is>
          <t>항목</t>
        </is>
      </c>
      <c r="B3" s="7" t="inlineStr">
        <is>
          <t>A안 (전체 6개국)</t>
        </is>
      </c>
      <c r="C3" s="7" t="inlineStr">
        <is>
          <t>B안 (IT 제외)</t>
        </is>
      </c>
      <c r="D3" s="7" t="inlineStr">
        <is>
          <t>C안 (24개월 환율)</t>
        </is>
      </c>
    </row>
    <row r="4">
      <c r="A4" s="11" t="inlineStr">
        <is>
          <t>참조 국가</t>
        </is>
      </c>
      <c r="B4" s="13" t="inlineStr">
        <is>
          <t>JP · IT · FR · CH · UK · DE</t>
        </is>
      </c>
      <c r="C4" s="13" t="inlineStr">
        <is>
          <t>JP · FR · CH · UK · DE</t>
        </is>
      </c>
      <c r="D4" s="13" t="inlineStr">
        <is>
          <t>JP · IT · FR · CH · UK · DE</t>
        </is>
      </c>
    </row>
    <row r="5">
      <c r="A5" s="11" t="inlineStr">
        <is>
          <t>환율 기준</t>
        </is>
      </c>
      <c r="B5" s="13" t="inlineStr">
        <is>
          <t>36개월 평균 (KEB하나은행)</t>
        </is>
      </c>
      <c r="C5" s="13" t="inlineStr">
        <is>
          <t>36개월 평균 (KEB하나은행)</t>
        </is>
      </c>
      <c r="D5" s="13" t="inlineStr">
        <is>
          <t>24개월 평균 (최근 환율 반영)</t>
        </is>
      </c>
    </row>
    <row r="6">
      <c r="A6" s="11" t="inlineStr">
        <is>
          <t>A8 평균 (KRW)</t>
        </is>
      </c>
      <c r="B6" s="13" t="inlineStr">
        <is>
          <t>4,557,780</t>
        </is>
      </c>
      <c r="C6" s="13" t="inlineStr">
        <is>
          <t>4,214,690</t>
        </is>
      </c>
      <c r="D6" s="13" t="inlineStr">
        <is>
          <t>4,603,357</t>
        </is>
      </c>
    </row>
    <row r="7">
      <c r="A7" s="11" t="inlineStr">
        <is>
          <t>A8 최저 (KRW)</t>
        </is>
      </c>
      <c r="B7" s="13" t="inlineStr">
        <is>
          <t>2,436,148</t>
        </is>
      </c>
      <c r="C7" s="13" t="inlineStr">
        <is>
          <t>2,436,148</t>
        </is>
      </c>
      <c r="D7" s="13" t="inlineStr">
        <is>
          <t>2,460,509</t>
        </is>
      </c>
    </row>
    <row r="8">
      <c r="A8" s="11" t="inlineStr">
        <is>
          <t>최저 × 90%</t>
        </is>
      </c>
      <c r="B8" s="13" t="inlineStr">
        <is>
          <t>2,192,533</t>
        </is>
      </c>
      <c r="C8" s="13" t="inlineStr">
        <is>
          <t>2,192,533</t>
        </is>
      </c>
      <c r="D8" s="13" t="inlineStr">
        <is>
          <t>2,214,458</t>
        </is>
      </c>
    </row>
    <row r="9">
      <c r="A9" s="11" t="inlineStr">
        <is>
          <t>최저 × 80%</t>
        </is>
      </c>
      <c r="B9" s="13" t="inlineStr">
        <is>
          <t>1,948,918</t>
        </is>
      </c>
      <c r="C9" s="13" t="inlineStr">
        <is>
          <t>1,948,918</t>
        </is>
      </c>
      <c r="D9" s="13" t="inlineStr">
        <is>
          <t>1,968,407</t>
        </is>
      </c>
    </row>
    <row r="10">
      <c r="A10" s="11" t="inlineStr">
        <is>
          <t>최저 × 70%</t>
        </is>
      </c>
      <c r="B10" s="13" t="inlineStr">
        <is>
          <t>1,705,303</t>
        </is>
      </c>
      <c r="C10" s="13" t="inlineStr">
        <is>
          <t>1,705,303</t>
        </is>
      </c>
      <c r="D10" s="13" t="inlineStr">
        <is>
          <t>1,722,356</t>
        </is>
      </c>
    </row>
    <row r="11">
      <c r="A11" s="11" t="inlineStr">
        <is>
          <t>전략 근거</t>
        </is>
      </c>
      <c r="B11" s="13" t="inlineStr">
        <is>
          <t>전체 A8 참조 — 표준 접근</t>
        </is>
      </c>
      <c r="C11" s="13" t="inlineStr">
        <is>
          <t>IT 가격 변동성 제거, 안정 국가 기준</t>
        </is>
      </c>
      <c r="D11" s="13" t="inlineStr">
        <is>
          <t>최근 환율 반영 — 보수적 기준</t>
        </is>
      </c>
    </row>
    <row r="13">
      <c r="A13" s="21" t="inlineStr">
        <is>
          <t>최종 선택</t>
        </is>
      </c>
      <c r="B13" s="22" t="inlineStr"/>
      <c r="C13" s="23" t="inlineStr">
        <is>
          <t>✅ 선정</t>
        </is>
      </c>
      <c r="D13" s="22" t="inlineStr"/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24" customWidth="1" min="4" max="4"/>
    <col width="16" customWidth="1" min="5" max="5"/>
    <col width="16" customWidth="1" min="6" max="6"/>
    <col width="40" customWidth="1" min="7" max="7"/>
  </cols>
  <sheetData>
    <row r="1">
      <c r="A1" s="7" t="inlineStr">
        <is>
          <t>타임스탬프</t>
        </is>
      </c>
      <c r="B1" s="7" t="inlineStr">
        <is>
          <t>사용자</t>
        </is>
      </c>
      <c r="C1" s="7" t="inlineStr">
        <is>
          <t>변경 시트</t>
        </is>
      </c>
      <c r="D1" s="7" t="inlineStr">
        <is>
          <t>항목</t>
        </is>
      </c>
      <c r="E1" s="7" t="inlineStr">
        <is>
          <t>이전 값</t>
        </is>
      </c>
      <c r="F1" s="7" t="inlineStr">
        <is>
          <t>신규 값</t>
        </is>
      </c>
      <c r="G1" s="7" t="inlineStr">
        <is>
          <t>사유</t>
        </is>
      </c>
    </row>
    <row r="2">
      <c r="A2" s="13" t="inlineStr">
        <is>
          <t>2026-04-16 09:12</t>
        </is>
      </c>
      <c r="B2" s="13" t="inlineStr">
        <is>
          <t>Joseph Kim</t>
        </is>
      </c>
      <c r="C2" s="13" t="inlineStr">
        <is>
          <t>4. Source Raw</t>
        </is>
      </c>
      <c r="D2" s="13" t="inlineStr">
        <is>
          <t>Keytruda 전 국가 스크레이핑 실행</t>
        </is>
      </c>
      <c r="E2" s="13" t="inlineStr">
        <is>
          <t>-</t>
        </is>
      </c>
      <c r="F2" s="13" t="inlineStr">
        <is>
          <t>6개국 완료(JP/FR 추정)</t>
        </is>
      </c>
      <c r="G2" s="13" t="inlineStr">
        <is>
          <t>Workbench 초기 생성</t>
        </is>
      </c>
    </row>
    <row r="3">
      <c r="A3" s="13" t="inlineStr">
        <is>
          <t>2026-04-16 10:15</t>
        </is>
      </c>
      <c r="B3" s="13" t="inlineStr">
        <is>
          <t>Joseph Kim</t>
        </is>
      </c>
      <c r="C3" s="13" t="inlineStr">
        <is>
          <t>7. Assumptions</t>
        </is>
      </c>
      <c r="D3" s="13" t="inlineStr">
        <is>
          <t>IT 포함여부</t>
        </is>
      </c>
      <c r="E3" s="13" t="inlineStr">
        <is>
          <t>✅</t>
        </is>
      </c>
      <c r="F3" s="13" t="inlineStr">
        <is>
          <t>❌</t>
        </is>
      </c>
      <c r="G3" s="13" t="inlineStr">
        <is>
          <t>가격 변동성 (시나리오 B)</t>
        </is>
      </c>
    </row>
    <row r="4">
      <c r="A4" s="13" t="inlineStr">
        <is>
          <t>2026-04-16 10:22</t>
        </is>
      </c>
      <c r="B4" s="13" t="inlineStr">
        <is>
          <t>Joseph Kim</t>
        </is>
      </c>
      <c r="C4" s="13" t="inlineStr">
        <is>
          <t>8. Scenarios</t>
        </is>
      </c>
      <c r="D4" s="13" t="inlineStr">
        <is>
          <t>최종 선택</t>
        </is>
      </c>
      <c r="E4" s="13" t="inlineStr">
        <is>
          <t>A안</t>
        </is>
      </c>
      <c r="F4" s="13" t="inlineStr">
        <is>
          <t>B안</t>
        </is>
      </c>
      <c r="G4" s="13" t="inlineStr">
        <is>
          <t>내부 협상회의 결정</t>
        </is>
      </c>
    </row>
    <row r="5">
      <c r="A5" s="13" t="inlineStr">
        <is>
          <t>2026-04-16 10:30</t>
        </is>
      </c>
      <c r="B5" s="13" t="inlineStr">
        <is>
          <t>Joseph Kim</t>
        </is>
      </c>
      <c r="C5" s="13" t="inlineStr">
        <is>
          <t>1. Cover</t>
        </is>
      </c>
      <c r="D5" s="13" t="inlineStr">
        <is>
          <t>제안 상한가</t>
        </is>
      </c>
      <c r="E5" s="13" t="inlineStr">
        <is>
          <t>자동값</t>
        </is>
      </c>
      <c r="F5" s="13" t="inlineStr">
        <is>
          <t>5,769,948</t>
        </is>
      </c>
      <c r="G5" s="13" t="inlineStr">
        <is>
          <t>B안 최저 × 90% 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2026-04-16T04:36:10Z</dcterms:created>
  <dcterms:modified xmlns:dcterms="http://purl.org/dc/terms/" xmlns:xsi="http://www.w3.org/2001/XMLSchema-instance" xsi:type="dcterms:W3CDTF">2026-04-16T04:36:10Z</dcterms:modified>
</cp:coreProperties>
</file>