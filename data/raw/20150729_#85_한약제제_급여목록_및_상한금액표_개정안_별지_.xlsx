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9990" yWindow="5190" windowWidth="13365" windowHeight="6510" tabRatio="886"/>
  </bookViews>
  <sheets>
    <sheet name="별지1_단미신설내역" sheetId="12" r:id="rId1"/>
    <sheet name="별지2_단미변경내역" sheetId="13" r:id="rId2"/>
    <sheet name="별지3_기준처방별 가격표 정정내역" sheetId="14" r:id="rId3"/>
    <sheet name="별첨_변경대비표" sheetId="15" r:id="rId4"/>
  </sheets>
  <definedNames>
    <definedName name="_801인하품목_298품목" localSheetId="0">#REF!</definedName>
    <definedName name="_801인하품목_298품목" localSheetId="1">#REF!</definedName>
    <definedName name="_801인하품목_298품목">#REF!</definedName>
    <definedName name="_xlnm._FilterDatabase" localSheetId="0" hidden="1">별지1_단미신설내역!$A$3:$H$3</definedName>
    <definedName name="_xlnm._FilterDatabase" localSheetId="1" hidden="1">별지2_단미변경내역!$A$3:$H$3</definedName>
    <definedName name="_xlnm.Print_Area" localSheetId="1">별지2_단미변경내역!$A$1:$H$4</definedName>
    <definedName name="_xlnm.Print_Titles" localSheetId="1">별지2_단미변경내역!$3:$3</definedName>
    <definedName name="ㅁ353" localSheetId="1">#REF!</definedName>
    <definedName name="ㅁ353">#REF!</definedName>
    <definedName name="범위" localSheetId="1">#REF!</definedName>
    <definedName name="범위">#REF!</definedName>
    <definedName name="제품성분합" localSheetId="1">#REF!</definedName>
    <definedName name="제품성분합">#REF!</definedName>
    <definedName name="중지품목">#REF!</definedName>
  </definedNames>
  <calcPr calcId="145621"/>
</workbook>
</file>

<file path=xl/calcChain.xml><?xml version="1.0" encoding="utf-8"?>
<calcChain xmlns="http://schemas.openxmlformats.org/spreadsheetml/2006/main">
  <c r="F15" i="15" l="1"/>
  <c r="F8" i="14" l="1"/>
</calcChain>
</file>

<file path=xl/sharedStrings.xml><?xml version="1.0" encoding="utf-8"?>
<sst xmlns="http://schemas.openxmlformats.org/spreadsheetml/2006/main" count="86" uniqueCount="58">
  <si>
    <t>A</t>
  </si>
  <si>
    <t>원료생약의
건조엑스 함량(g)</t>
    <phoneticPr fontId="3" type="noConversion"/>
  </si>
  <si>
    <t>상한금액(원)</t>
    <phoneticPr fontId="4" type="noConversion"/>
  </si>
  <si>
    <t>표준코드</t>
    <phoneticPr fontId="3" type="noConversion"/>
  </si>
  <si>
    <t>업체명</t>
    <phoneticPr fontId="3" type="noConversion"/>
  </si>
  <si>
    <t>단미(A)
/혼합(B)</t>
    <phoneticPr fontId="3" type="noConversion"/>
  </si>
  <si>
    <t>연번</t>
    <phoneticPr fontId="3" type="noConversion"/>
  </si>
  <si>
    <t>제품명</t>
    <phoneticPr fontId="3" type="noConversion"/>
  </si>
  <si>
    <t>단 위(g)</t>
    <phoneticPr fontId="4" type="noConversion"/>
  </si>
  <si>
    <t>연번</t>
    <phoneticPr fontId="3" type="noConversion"/>
  </si>
  <si>
    <t>단미(A)
/혼합(B)</t>
    <phoneticPr fontId="3" type="noConversion"/>
  </si>
  <si>
    <t>제품명</t>
  </si>
  <si>
    <t>업체명</t>
  </si>
  <si>
    <t>단 위(g)</t>
  </si>
  <si>
    <t>원료생약의
건조엑스 함량(g)</t>
  </si>
  <si>
    <t>상한금액(원)</t>
  </si>
  <si>
    <t>표준코드</t>
    <phoneticPr fontId="3" type="noConversion"/>
  </si>
  <si>
    <t>별지 1. [별표 1] 한약제제 급여목록표 중 신설</t>
    <phoneticPr fontId="3" type="noConversion"/>
  </si>
  <si>
    <t>별지 2. [별표 1] 한약제제 급여목록표 중 변경</t>
    <phoneticPr fontId="3" type="noConversion"/>
  </si>
  <si>
    <t>1. 단미엑스산제</t>
  </si>
  <si>
    <t>1. 단미엑스산제</t>
    <phoneticPr fontId="3" type="noConversion"/>
  </si>
  <si>
    <t>한풍망초</t>
    <phoneticPr fontId="3" type="noConversion"/>
  </si>
  <si>
    <t>(유)한풍제약</t>
    <phoneticPr fontId="3" type="noConversion"/>
  </si>
  <si>
    <t>기화망초가루</t>
    <phoneticPr fontId="3" type="noConversion"/>
  </si>
  <si>
    <t>기화바이오생명제약㈜</t>
    <phoneticPr fontId="3" type="noConversion"/>
  </si>
  <si>
    <t>기화석고가루</t>
    <phoneticPr fontId="3" type="noConversion"/>
  </si>
  <si>
    <t>처방명</t>
  </si>
  <si>
    <t>처방내용</t>
    <phoneticPr fontId="3" type="noConversion"/>
  </si>
  <si>
    <t>복용 기준</t>
    <phoneticPr fontId="4" type="noConversion"/>
  </si>
  <si>
    <t>기준가격(원)</t>
    <phoneticPr fontId="4" type="noConversion"/>
  </si>
  <si>
    <t>원료생약(g)</t>
    <phoneticPr fontId="4" type="noConversion"/>
  </si>
  <si>
    <t>건조엑스 함량(g)</t>
    <phoneticPr fontId="4" type="noConversion"/>
  </si>
  <si>
    <t>53. 黃金芍藥湯(황금작약탕)</t>
    <phoneticPr fontId="4" type="noConversion"/>
  </si>
  <si>
    <t>황금</t>
  </si>
  <si>
    <t>黃芩</t>
  </si>
  <si>
    <t>(원전 : 方藥合編)</t>
    <phoneticPr fontId="3" type="noConversion"/>
  </si>
  <si>
    <t>작약</t>
  </si>
  <si>
    <t>芍藥</t>
  </si>
  <si>
    <t>감초</t>
  </si>
  <si>
    <t>甘草</t>
  </si>
  <si>
    <t>계</t>
  </si>
  <si>
    <t>별지 3. [별표2] 한방건강보험 기준처방별 가격표 중 변경</t>
    <phoneticPr fontId="3" type="noConversion"/>
  </si>
  <si>
    <t>연번</t>
    <phoneticPr fontId="3" type="noConversion"/>
  </si>
  <si>
    <t>단미
/혼합</t>
    <phoneticPr fontId="3" type="noConversion"/>
  </si>
  <si>
    <t>업체명</t>
    <phoneticPr fontId="3" type="noConversion"/>
  </si>
  <si>
    <t>단 위(g)</t>
    <phoneticPr fontId="4" type="noConversion"/>
  </si>
  <si>
    <t>원료생약의
건조엑스 함량(g)</t>
    <phoneticPr fontId="3" type="noConversion"/>
  </si>
  <si>
    <t>상한금액(원)</t>
    <phoneticPr fontId="4" type="noConversion"/>
  </si>
  <si>
    <t>변경전</t>
    <phoneticPr fontId="3" type="noConversion"/>
  </si>
  <si>
    <t>변경후</t>
    <phoneticPr fontId="3" type="noConversion"/>
  </si>
  <si>
    <t>한풍망초</t>
  </si>
  <si>
    <t>(유)한풍제약</t>
  </si>
  <si>
    <t>한풍망초가루</t>
    <phoneticPr fontId="3" type="noConversion"/>
  </si>
  <si>
    <t>한풍망초</t>
    <phoneticPr fontId="3" type="noConversion"/>
  </si>
  <si>
    <t>[별첨] 별지2 관련 변경대비표</t>
    <phoneticPr fontId="3" type="noConversion"/>
  </si>
  <si>
    <t>[별첨] 별지3 관련 변경대비표</t>
    <phoneticPr fontId="3" type="noConversion"/>
  </si>
  <si>
    <t>기준가격(원)</t>
    <phoneticPr fontId="3" type="noConversion"/>
  </si>
  <si>
    <t>좌동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</si>
</sst>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1" formatCode="_-* #,##0_-;\-* #,##0_-;_-* &quot;-&quot;_-;_-@_-"/>
    <numFmt numFmtId="176" formatCode="0.000_ "/>
    <numFmt numFmtId="177" formatCode="0.000_);[Red]\(0.000\)"/>
    <numFmt numFmtId="178" formatCode="0_);[Red]\(0\)"/>
    <numFmt numFmtId="179" formatCode="0.00_);[Red]\(0.00\)"/>
    <numFmt numFmtId="180" formatCode="_ * #,##0_ ;_ * \-#,##0_ ;_ * &quot;-&quot;_ ;_ @_ "/>
    <numFmt numFmtId="181" formatCode="_ * #,##0.00_ ;_ * \-#,##0.00_ ;_ * &quot;-&quot;??_ ;_ @_ "/>
    <numFmt numFmtId="182" formatCode="&quot;$&quot;#,##0;[Red]\-&quot;$&quot;#,##0"/>
    <numFmt numFmtId="183" formatCode="_-[$€-2]* #,##0.00_-;\-[$€-2]* #,##0.00_-;_-[$€-2]* &quot;-&quot;??_-"/>
    <numFmt numFmtId="184" formatCode="&quot;SFr.&quot;#,##0;&quot;SFr.&quot;\-#,##0"/>
    <numFmt numFmtId="185" formatCode="0_ "/>
    <numFmt numFmtId="186" formatCode="0.00_ "/>
    <numFmt numFmtId="187" formatCode="0.00;[Red]0.00"/>
    <numFmt numFmtId="188" formatCode="#,##0.00_);[Red]\(#,##0.00\)"/>
    <numFmt numFmtId="189" formatCode="#,##0.0_);[Red]\(#,##0.0\)"/>
    <numFmt numFmtId="190" formatCode="#,##0.000_);[Red]\(#,##0.000\)"/>
  </numFmts>
  <fonts count="40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돋움체"/>
      <family val="3"/>
      <charset val="129"/>
    </font>
    <font>
      <sz val="11"/>
      <name val="굴림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굴림"/>
      <family val="3"/>
      <charset val="129"/>
    </font>
    <font>
      <sz val="10"/>
      <name val="MS Sans Serif"/>
      <family val="2"/>
    </font>
    <font>
      <sz val="8"/>
      <name val="Arial"/>
      <family val="2"/>
    </font>
    <font>
      <sz val="12"/>
      <name val="Arial"/>
      <family val="2"/>
    </font>
    <font>
      <b/>
      <sz val="16"/>
      <name val="HY헤드라인M"/>
      <family val="1"/>
      <charset val="129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b/>
      <sz val="14"/>
      <name val="새굴림"/>
      <family val="1"/>
      <charset val="129"/>
    </font>
    <font>
      <sz val="10"/>
      <name val="Arial"/>
      <family val="2"/>
    </font>
    <font>
      <b/>
      <sz val="9"/>
      <name val="새굴림"/>
      <family val="1"/>
      <charset val="129"/>
    </font>
    <font>
      <sz val="9"/>
      <name val="새굴림"/>
      <family val="1"/>
      <charset val="129"/>
    </font>
    <font>
      <b/>
      <sz val="18"/>
      <name val="돋움"/>
      <family val="3"/>
      <charset val="129"/>
    </font>
    <font>
      <b/>
      <sz val="10"/>
      <name val="굴림체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8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2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21" borderId="3" applyNumberFormat="0" applyFon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4" applyNumberFormat="0" applyAlignment="0" applyProtection="0">
      <alignment vertical="center"/>
    </xf>
    <xf numFmtId="41" fontId="14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7" fillId="0" borderId="0"/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7" borderId="2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0" borderId="10" applyNumberFormat="0" applyAlignment="0" applyProtection="0">
      <alignment vertical="center"/>
    </xf>
    <xf numFmtId="180" fontId="5" fillId="0" borderId="0" applyFont="0" applyFill="0" applyBorder="0" applyAlignment="0" applyProtection="0"/>
    <xf numFmtId="181" fontId="27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14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14" fillId="0" borderId="0"/>
    <xf numFmtId="0" fontId="6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8" fillId="0" borderId="0" applyFont="0" applyFill="0" applyBorder="0" applyAlignment="0" applyProtection="0"/>
    <xf numFmtId="181" fontId="16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83" fontId="2" fillId="0" borderId="0" applyFont="0" applyFill="0" applyBorder="0" applyAlignment="0" applyProtection="0"/>
    <xf numFmtId="38" fontId="29" fillId="24" borderId="0" applyNumberFormat="0" applyBorder="0" applyAlignment="0" applyProtection="0"/>
    <xf numFmtId="10" fontId="29" fillId="25" borderId="1" applyNumberFormat="0" applyBorder="0" applyAlignment="0" applyProtection="0"/>
    <xf numFmtId="184" fontId="17" fillId="0" borderId="0"/>
    <xf numFmtId="0" fontId="30" fillId="0" borderId="0"/>
    <xf numFmtId="10" fontId="16" fillId="0" borderId="0" applyFont="0" applyFill="0" applyBorder="0" applyAlignment="0" applyProtection="0"/>
    <xf numFmtId="0" fontId="35" fillId="0" borderId="0"/>
    <xf numFmtId="0" fontId="14" fillId="0" borderId="0"/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2" fillId="0" borderId="0"/>
  </cellStyleXfs>
  <cellXfs count="110">
    <xf numFmtId="0" fontId="0" fillId="0" borderId="0" xfId="0">
      <alignment vertical="center"/>
    </xf>
    <xf numFmtId="0" fontId="5" fillId="0" borderId="0" xfId="0" applyFont="1" applyFill="1" applyBorder="1">
      <alignment vertical="center"/>
    </xf>
    <xf numFmtId="0" fontId="5" fillId="0" borderId="0" xfId="2" applyFont="1" applyFill="1" applyBorder="1" applyAlignment="1">
      <alignment horizontal="center" vertical="center" wrapText="1" shrinkToFit="1"/>
    </xf>
    <xf numFmtId="0" fontId="5" fillId="0" borderId="0" xfId="0" applyFont="1" applyFill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178" fontId="5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center" vertical="center"/>
    </xf>
    <xf numFmtId="179" fontId="5" fillId="0" borderId="0" xfId="0" applyNumberFormat="1" applyFont="1" applyFill="1" applyAlignment="1">
      <alignment horizontal="center" vertical="center"/>
    </xf>
    <xf numFmtId="0" fontId="32" fillId="0" borderId="1" xfId="2" applyFont="1" applyFill="1" applyBorder="1" applyAlignment="1">
      <alignment horizontal="center" vertical="center" wrapText="1" shrinkToFit="1"/>
    </xf>
    <xf numFmtId="178" fontId="32" fillId="0" borderId="1" xfId="2" applyNumberFormat="1" applyFont="1" applyFill="1" applyBorder="1" applyAlignment="1">
      <alignment horizontal="center" vertical="center" wrapText="1" shrinkToFit="1"/>
    </xf>
    <xf numFmtId="41" fontId="32" fillId="0" borderId="1" xfId="1" applyFont="1" applyFill="1" applyBorder="1" applyAlignment="1">
      <alignment horizontal="center" vertical="center" wrapText="1" shrinkToFit="1"/>
    </xf>
    <xf numFmtId="0" fontId="33" fillId="0" borderId="1" xfId="0" applyFont="1" applyFill="1" applyBorder="1" applyAlignment="1">
      <alignment horizontal="center" vertical="center"/>
    </xf>
    <xf numFmtId="0" fontId="31" fillId="0" borderId="0" xfId="0" applyFont="1" applyBorder="1" applyAlignment="1">
      <alignment horizontal="left" vertical="center"/>
    </xf>
    <xf numFmtId="177" fontId="32" fillId="0" borderId="1" xfId="2" applyNumberFormat="1" applyFont="1" applyFill="1" applyBorder="1" applyAlignment="1">
      <alignment horizontal="center" vertical="center" wrapText="1" shrinkToFit="1"/>
    </xf>
    <xf numFmtId="0" fontId="32" fillId="0" borderId="1" xfId="2" applyNumberFormat="1" applyFont="1" applyFill="1" applyBorder="1" applyAlignment="1">
      <alignment horizontal="center" vertical="center" wrapText="1" shrinkToFit="1"/>
    </xf>
    <xf numFmtId="0" fontId="34" fillId="0" borderId="0" xfId="0" applyFont="1" applyFill="1" applyBorder="1" applyAlignment="1">
      <alignment horizontal="left" vertical="center"/>
    </xf>
    <xf numFmtId="0" fontId="33" fillId="0" borderId="0" xfId="2" applyFont="1" applyFill="1" applyBorder="1" applyAlignment="1">
      <alignment horizontal="center" vertical="center" wrapText="1" shrinkToFit="1"/>
    </xf>
    <xf numFmtId="0" fontId="33" fillId="0" borderId="0" xfId="0" applyFont="1" applyFill="1" applyBorder="1">
      <alignment vertical="center"/>
    </xf>
    <xf numFmtId="0" fontId="33" fillId="0" borderId="0" xfId="0" applyFont="1" applyFill="1" applyAlignment="1">
      <alignment horizontal="center" vertical="center"/>
    </xf>
    <xf numFmtId="178" fontId="33" fillId="0" borderId="0" xfId="0" applyNumberFormat="1" applyFont="1" applyFill="1" applyAlignment="1">
      <alignment horizontal="center" vertical="center"/>
    </xf>
    <xf numFmtId="178" fontId="33" fillId="0" borderId="0" xfId="0" applyNumberFormat="1" applyFont="1" applyFill="1" applyAlignment="1">
      <alignment horizontal="left" vertical="center"/>
    </xf>
    <xf numFmtId="177" fontId="33" fillId="0" borderId="0" xfId="0" applyNumberFormat="1" applyFont="1" applyFill="1" applyAlignment="1">
      <alignment horizontal="right" vertical="center"/>
    </xf>
    <xf numFmtId="0" fontId="33" fillId="0" borderId="0" xfId="0" applyFont="1" applyFill="1" applyAlignment="1">
      <alignment horizontal="right" vertical="center"/>
    </xf>
    <xf numFmtId="41" fontId="33" fillId="0" borderId="0" xfId="1" applyFont="1" applyFill="1" applyAlignment="1">
      <alignment horizontal="right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0" xfId="0" applyFont="1" applyFill="1" applyBorder="1" applyAlignment="1">
      <alignment horizontal="center" vertical="center"/>
    </xf>
    <xf numFmtId="177" fontId="33" fillId="0" borderId="0" xfId="0" applyNumberFormat="1" applyFont="1" applyFill="1" applyBorder="1" applyAlignment="1">
      <alignment horizontal="center" vertical="center"/>
    </xf>
    <xf numFmtId="185" fontId="33" fillId="0" borderId="1" xfId="75" applyNumberFormat="1" applyFont="1" applyBorder="1" applyAlignment="1">
      <alignment horizontal="center" vertical="center"/>
    </xf>
    <xf numFmtId="176" fontId="33" fillId="0" borderId="1" xfId="0" applyNumberFormat="1" applyFont="1" applyFill="1" applyBorder="1" applyAlignment="1">
      <alignment vertical="center"/>
    </xf>
    <xf numFmtId="178" fontId="32" fillId="0" borderId="1" xfId="2" applyNumberFormat="1" applyFont="1" applyFill="1" applyBorder="1" applyAlignment="1">
      <alignment horizontal="center" vertical="center" wrapText="1" shrinkToFit="1"/>
    </xf>
    <xf numFmtId="186" fontId="32" fillId="0" borderId="1" xfId="2" applyNumberFormat="1" applyFont="1" applyFill="1" applyBorder="1" applyAlignment="1">
      <alignment horizontal="center" vertical="center" wrapText="1" shrinkToFit="1"/>
    </xf>
    <xf numFmtId="0" fontId="32" fillId="0" borderId="1" xfId="2" applyNumberFormat="1" applyFont="1" applyFill="1" applyBorder="1" applyAlignment="1">
      <alignment horizontal="center" vertical="center" wrapText="1" shrinkToFit="1"/>
    </xf>
    <xf numFmtId="41" fontId="32" fillId="0" borderId="1" xfId="1" applyFont="1" applyFill="1" applyBorder="1" applyAlignment="1">
      <alignment horizontal="center" vertical="center" wrapText="1" shrinkToFit="1"/>
    </xf>
    <xf numFmtId="0" fontId="33" fillId="0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vertical="center"/>
    </xf>
    <xf numFmtId="186" fontId="33" fillId="0" borderId="1" xfId="0" applyNumberFormat="1" applyFont="1" applyBorder="1" applyAlignment="1">
      <alignment vertical="center"/>
    </xf>
    <xf numFmtId="176" fontId="33" fillId="0" borderId="1" xfId="0" applyNumberFormat="1" applyFont="1" applyBorder="1" applyAlignment="1">
      <alignment vertical="center"/>
    </xf>
    <xf numFmtId="0" fontId="33" fillId="0" borderId="1" xfId="0" applyFont="1" applyBorder="1" applyAlignment="1">
      <alignment horizontal="center" vertical="center"/>
    </xf>
    <xf numFmtId="41" fontId="33" fillId="0" borderId="1" xfId="1" applyFont="1" applyFill="1" applyBorder="1" applyAlignment="1">
      <alignment vertical="center"/>
    </xf>
    <xf numFmtId="187" fontId="33" fillId="0" borderId="1" xfId="2" applyNumberFormat="1" applyFont="1" applyFill="1" applyBorder="1" applyAlignment="1">
      <alignment vertical="center" wrapText="1"/>
    </xf>
    <xf numFmtId="188" fontId="36" fillId="0" borderId="1" xfId="82" applyNumberFormat="1" applyFont="1" applyFill="1" applyBorder="1" applyAlignment="1">
      <alignment horizontal="center" vertical="center" wrapText="1"/>
    </xf>
    <xf numFmtId="190" fontId="36" fillId="0" borderId="19" xfId="82" applyNumberFormat="1" applyFont="1" applyFill="1" applyBorder="1" applyAlignment="1">
      <alignment horizontal="center" vertical="center" wrapText="1"/>
    </xf>
    <xf numFmtId="0" fontId="37" fillId="0" borderId="11" xfId="82" applyFont="1" applyFill="1" applyBorder="1" applyAlignment="1">
      <alignment vertical="center"/>
    </xf>
    <xf numFmtId="0" fontId="37" fillId="0" borderId="12" xfId="0" applyFont="1" applyFill="1" applyBorder="1" applyAlignment="1">
      <alignment vertical="center"/>
    </xf>
    <xf numFmtId="0" fontId="37" fillId="0" borderId="11" xfId="82" applyFont="1" applyFill="1" applyBorder="1" applyAlignment="1">
      <alignment horizontal="center" vertical="center" wrapText="1"/>
    </xf>
    <xf numFmtId="179" fontId="37" fillId="0" borderId="11" xfId="0" applyNumberFormat="1" applyFont="1" applyFill="1" applyBorder="1" applyAlignment="1">
      <alignment horizontal="right" vertical="center"/>
    </xf>
    <xf numFmtId="177" fontId="37" fillId="0" borderId="13" xfId="0" applyNumberFormat="1" applyFont="1" applyFill="1" applyBorder="1" applyAlignment="1">
      <alignment horizontal="right" vertical="center"/>
    </xf>
    <xf numFmtId="189" fontId="37" fillId="0" borderId="20" xfId="1" applyNumberFormat="1" applyFont="1" applyFill="1" applyBorder="1" applyAlignment="1">
      <alignment horizontal="right" vertical="center"/>
    </xf>
    <xf numFmtId="0" fontId="37" fillId="0" borderId="20" xfId="82" applyFont="1" applyFill="1" applyBorder="1" applyAlignment="1">
      <alignment vertical="center"/>
    </xf>
    <xf numFmtId="0" fontId="37" fillId="0" borderId="21" xfId="0" applyFont="1" applyFill="1" applyBorder="1" applyAlignment="1">
      <alignment vertical="center"/>
    </xf>
    <xf numFmtId="0" fontId="37" fillId="0" borderId="20" xfId="82" applyFont="1" applyFill="1" applyBorder="1" applyAlignment="1">
      <alignment horizontal="center" vertical="center" wrapText="1"/>
    </xf>
    <xf numFmtId="179" fontId="37" fillId="0" borderId="20" xfId="0" applyNumberFormat="1" applyFont="1" applyFill="1" applyBorder="1" applyAlignment="1">
      <alignment horizontal="right" vertical="center"/>
    </xf>
    <xf numFmtId="177" fontId="37" fillId="0" borderId="22" xfId="0" applyNumberFormat="1" applyFont="1" applyFill="1" applyBorder="1" applyAlignment="1">
      <alignment horizontal="right" vertical="center"/>
    </xf>
    <xf numFmtId="0" fontId="37" fillId="0" borderId="17" xfId="0" applyFont="1" applyFill="1" applyBorder="1" applyAlignment="1">
      <alignment vertical="center"/>
    </xf>
    <xf numFmtId="0" fontId="37" fillId="0" borderId="16" xfId="82" applyFont="1" applyFill="1" applyBorder="1" applyAlignment="1">
      <alignment horizontal="center" vertical="center" wrapText="1"/>
    </xf>
    <xf numFmtId="179" fontId="37" fillId="0" borderId="16" xfId="0" applyNumberFormat="1" applyFont="1" applyFill="1" applyBorder="1" applyAlignment="1">
      <alignment horizontal="right" vertical="center"/>
    </xf>
    <xf numFmtId="177" fontId="37" fillId="0" borderId="18" xfId="0" applyNumberFormat="1" applyFont="1" applyFill="1" applyBorder="1" applyAlignment="1">
      <alignment horizontal="right" vertical="center"/>
    </xf>
    <xf numFmtId="0" fontId="37" fillId="0" borderId="16" xfId="82" applyFont="1" applyFill="1" applyBorder="1" applyAlignment="1">
      <alignment vertical="center"/>
    </xf>
    <xf numFmtId="0" fontId="37" fillId="0" borderId="19" xfId="0" applyFont="1" applyFill="1" applyBorder="1" applyAlignment="1">
      <alignment vertical="center"/>
    </xf>
    <xf numFmtId="0" fontId="37" fillId="0" borderId="15" xfId="82" applyFont="1" applyFill="1" applyBorder="1" applyAlignment="1">
      <alignment horizontal="center" vertical="center" wrapText="1"/>
    </xf>
    <xf numFmtId="177" fontId="37" fillId="0" borderId="19" xfId="0" applyNumberFormat="1" applyFont="1" applyFill="1" applyBorder="1" applyAlignment="1">
      <alignment horizontal="right" vertical="center"/>
    </xf>
    <xf numFmtId="41" fontId="37" fillId="0" borderId="1" xfId="1" applyFont="1" applyFill="1" applyBorder="1" applyAlignment="1">
      <alignment horizontal="right" vertical="center"/>
    </xf>
    <xf numFmtId="179" fontId="5" fillId="0" borderId="0" xfId="1" applyNumberFormat="1" applyFont="1" applyFill="1" applyAlignment="1">
      <alignment horizontal="center" vertical="center"/>
    </xf>
    <xf numFmtId="0" fontId="38" fillId="0" borderId="0" xfId="0" applyFont="1" applyBorder="1" applyAlignment="1">
      <alignment horizontal="left" vertical="center"/>
    </xf>
    <xf numFmtId="179" fontId="39" fillId="0" borderId="1" xfId="2" applyNumberFormat="1" applyFont="1" applyFill="1" applyBorder="1" applyAlignment="1">
      <alignment horizontal="center" vertical="center" wrapText="1" shrinkToFit="1"/>
    </xf>
    <xf numFmtId="185" fontId="33" fillId="0" borderId="1" xfId="0" applyNumberFormat="1" applyFont="1" applyFill="1" applyBorder="1" applyAlignment="1">
      <alignment horizontal="center" vertical="center" wrapText="1"/>
    </xf>
    <xf numFmtId="179" fontId="33" fillId="0" borderId="1" xfId="0" applyNumberFormat="1" applyFont="1" applyBorder="1" applyAlignment="1">
      <alignment horizontal="center" vertical="center" shrinkToFit="1"/>
    </xf>
    <xf numFmtId="178" fontId="33" fillId="0" borderId="1" xfId="0" applyNumberFormat="1" applyFont="1" applyFill="1" applyBorder="1" applyAlignment="1">
      <alignment horizontal="center" vertical="center" wrapText="1"/>
    </xf>
    <xf numFmtId="179" fontId="33" fillId="0" borderId="1" xfId="2" applyNumberFormat="1" applyFont="1" applyFill="1" applyBorder="1" applyAlignment="1">
      <alignment horizontal="right" vertical="center" wrapText="1"/>
    </xf>
    <xf numFmtId="176" fontId="33" fillId="0" borderId="1" xfId="0" applyNumberFormat="1" applyFont="1" applyFill="1" applyBorder="1" applyAlignment="1">
      <alignment horizontal="right" vertical="center"/>
    </xf>
    <xf numFmtId="178" fontId="39" fillId="0" borderId="1" xfId="2" applyNumberFormat="1" applyFont="1" applyFill="1" applyBorder="1" applyAlignment="1">
      <alignment horizontal="center" vertical="center" wrapText="1" shrinkToFit="1"/>
    </xf>
    <xf numFmtId="178" fontId="39" fillId="0" borderId="1" xfId="2" applyNumberFormat="1" applyFont="1" applyFill="1" applyBorder="1" applyAlignment="1">
      <alignment horizontal="center" vertical="center" wrapText="1" shrinkToFit="1"/>
    </xf>
    <xf numFmtId="0" fontId="36" fillId="0" borderId="11" xfId="82" applyFont="1" applyFill="1" applyBorder="1" applyAlignment="1">
      <alignment horizontal="center" vertical="center" wrapText="1"/>
    </xf>
    <xf numFmtId="0" fontId="36" fillId="0" borderId="16" xfId="82" applyFont="1" applyFill="1" applyBorder="1" applyAlignment="1">
      <alignment horizontal="center" vertical="center" wrapText="1"/>
    </xf>
    <xf numFmtId="0" fontId="36" fillId="0" borderId="12" xfId="82" applyFont="1" applyFill="1" applyBorder="1" applyAlignment="1">
      <alignment horizontal="center" vertical="center" wrapText="1"/>
    </xf>
    <xf numFmtId="0" fontId="36" fillId="0" borderId="13" xfId="82" applyFont="1" applyFill="1" applyBorder="1" applyAlignment="1">
      <alignment horizontal="center" vertical="center" wrapText="1"/>
    </xf>
    <xf numFmtId="0" fontId="36" fillId="0" borderId="17" xfId="82" applyFont="1" applyFill="1" applyBorder="1" applyAlignment="1">
      <alignment horizontal="center" vertical="center" wrapText="1"/>
    </xf>
    <xf numFmtId="0" fontId="36" fillId="0" borderId="18" xfId="82" applyFont="1" applyFill="1" applyBorder="1" applyAlignment="1">
      <alignment horizontal="center" vertical="center" wrapText="1"/>
    </xf>
    <xf numFmtId="188" fontId="36" fillId="0" borderId="14" xfId="82" applyNumberFormat="1" applyFont="1" applyFill="1" applyBorder="1" applyAlignment="1">
      <alignment horizontal="center" vertical="center" wrapText="1"/>
    </xf>
    <xf numFmtId="188" fontId="36" fillId="0" borderId="15" xfId="82" applyNumberFormat="1" applyFont="1" applyFill="1" applyBorder="1" applyAlignment="1">
      <alignment horizontal="center" vertical="center" wrapText="1"/>
    </xf>
    <xf numFmtId="189" fontId="36" fillId="0" borderId="11" xfId="82" applyNumberFormat="1" applyFont="1" applyFill="1" applyBorder="1" applyAlignment="1">
      <alignment horizontal="center" vertical="center" wrapText="1"/>
    </xf>
    <xf numFmtId="189" fontId="36" fillId="0" borderId="16" xfId="82" applyNumberFormat="1" applyFont="1" applyFill="1" applyBorder="1" applyAlignment="1">
      <alignment horizontal="center" vertical="center" wrapText="1"/>
    </xf>
    <xf numFmtId="0" fontId="39" fillId="0" borderId="1" xfId="2" applyNumberFormat="1" applyFont="1" applyFill="1" applyBorder="1" applyAlignment="1">
      <alignment horizontal="center" vertical="center" wrapText="1" shrinkToFit="1"/>
    </xf>
    <xf numFmtId="0" fontId="39" fillId="0" borderId="1" xfId="2" applyFont="1" applyFill="1" applyBorder="1" applyAlignment="1">
      <alignment horizontal="center" vertical="center" wrapText="1" shrinkToFit="1"/>
    </xf>
    <xf numFmtId="178" fontId="39" fillId="0" borderId="1" xfId="2" applyNumberFormat="1" applyFont="1" applyFill="1" applyBorder="1" applyAlignment="1">
      <alignment horizontal="center" vertical="center" wrapText="1" shrinkToFit="1"/>
    </xf>
    <xf numFmtId="177" fontId="39" fillId="0" borderId="1" xfId="2" applyNumberFormat="1" applyFont="1" applyFill="1" applyBorder="1" applyAlignment="1">
      <alignment horizontal="center" vertical="center" wrapText="1" shrinkToFit="1"/>
    </xf>
    <xf numFmtId="185" fontId="33" fillId="0" borderId="0" xfId="0" applyNumberFormat="1" applyFont="1" applyFill="1" applyBorder="1" applyAlignment="1">
      <alignment horizontal="center" vertical="center" wrapText="1"/>
    </xf>
    <xf numFmtId="178" fontId="33" fillId="0" borderId="0" xfId="0" applyNumberFormat="1" applyFont="1" applyFill="1" applyBorder="1" applyAlignment="1">
      <alignment horizontal="center" vertical="center" wrapText="1"/>
    </xf>
    <xf numFmtId="179" fontId="33" fillId="0" borderId="0" xfId="2" applyNumberFormat="1" applyFont="1" applyFill="1" applyBorder="1" applyAlignment="1">
      <alignment horizontal="right" vertical="center" wrapText="1"/>
    </xf>
    <xf numFmtId="176" fontId="33" fillId="0" borderId="0" xfId="0" applyNumberFormat="1" applyFont="1" applyFill="1" applyBorder="1" applyAlignment="1">
      <alignment horizontal="right" vertical="center"/>
    </xf>
    <xf numFmtId="41" fontId="33" fillId="0" borderId="0" xfId="1" applyFont="1" applyFill="1" applyBorder="1" applyAlignment="1">
      <alignment horizontal="center" vertical="center"/>
    </xf>
    <xf numFmtId="178" fontId="33" fillId="0" borderId="0" xfId="0" applyNumberFormat="1" applyFont="1" applyFill="1" applyBorder="1" applyAlignment="1">
      <alignment horizontal="center" vertical="center" shrinkToFit="1"/>
    </xf>
    <xf numFmtId="179" fontId="33" fillId="0" borderId="0" xfId="0" applyNumberFormat="1" applyFont="1" applyBorder="1" applyAlignment="1">
      <alignment horizontal="center" vertical="center" shrinkToFit="1"/>
    </xf>
    <xf numFmtId="0" fontId="37" fillId="0" borderId="1" xfId="0" applyNumberFormat="1" applyFont="1" applyBorder="1" applyAlignment="1">
      <alignment horizontal="right" vertical="center"/>
    </xf>
    <xf numFmtId="49" fontId="37" fillId="0" borderId="11" xfId="0" applyNumberFormat="1" applyFont="1" applyBorder="1" applyAlignment="1">
      <alignment horizontal="right" vertical="center" shrinkToFit="1"/>
    </xf>
    <xf numFmtId="49" fontId="37" fillId="0" borderId="20" xfId="0" applyNumberFormat="1" applyFont="1" applyBorder="1" applyAlignment="1">
      <alignment horizontal="right" vertical="center"/>
    </xf>
    <xf numFmtId="49" fontId="37" fillId="0" borderId="16" xfId="0" applyNumberFormat="1" applyFont="1" applyBorder="1" applyAlignment="1">
      <alignment horizontal="right" vertical="center"/>
    </xf>
    <xf numFmtId="178" fontId="39" fillId="0" borderId="15" xfId="2" applyNumberFormat="1" applyFont="1" applyFill="1" applyBorder="1" applyAlignment="1">
      <alignment horizontal="center" vertical="center" wrapText="1" shrinkToFit="1"/>
    </xf>
    <xf numFmtId="41" fontId="39" fillId="0" borderId="15" xfId="1" applyFont="1" applyFill="1" applyBorder="1" applyAlignment="1">
      <alignment horizontal="center" vertical="center" wrapText="1" shrinkToFit="1"/>
    </xf>
    <xf numFmtId="178" fontId="33" fillId="0" borderId="15" xfId="0" applyNumberFormat="1" applyFont="1" applyFill="1" applyBorder="1" applyAlignment="1">
      <alignment horizontal="center" vertical="center" shrinkToFit="1"/>
    </xf>
    <xf numFmtId="41" fontId="39" fillId="0" borderId="23" xfId="1" applyFont="1" applyFill="1" applyBorder="1" applyAlignment="1">
      <alignment horizontal="center" vertical="center" wrapText="1" shrinkToFit="1"/>
    </xf>
    <xf numFmtId="41" fontId="33" fillId="0" borderId="23" xfId="1" applyFont="1" applyFill="1" applyBorder="1" applyAlignment="1">
      <alignment horizontal="center" vertical="center"/>
    </xf>
    <xf numFmtId="189" fontId="37" fillId="0" borderId="13" xfId="1" applyNumberFormat="1" applyFont="1" applyFill="1" applyBorder="1" applyAlignment="1">
      <alignment horizontal="right" vertical="center"/>
    </xf>
    <xf numFmtId="189" fontId="37" fillId="0" borderId="22" xfId="1" applyNumberFormat="1" applyFont="1" applyFill="1" applyBorder="1" applyAlignment="1">
      <alignment horizontal="right" vertical="center"/>
    </xf>
    <xf numFmtId="189" fontId="37" fillId="0" borderId="18" xfId="1" applyNumberFormat="1" applyFont="1" applyFill="1" applyBorder="1" applyAlignment="1">
      <alignment horizontal="right" vertical="center"/>
    </xf>
    <xf numFmtId="49" fontId="37" fillId="0" borderId="15" xfId="1" applyNumberFormat="1" applyFont="1" applyFill="1" applyBorder="1" applyAlignment="1">
      <alignment horizontal="right" vertical="center"/>
    </xf>
    <xf numFmtId="189" fontId="36" fillId="0" borderId="24" xfId="82" applyNumberFormat="1" applyFont="1" applyFill="1" applyBorder="1" applyAlignment="1">
      <alignment horizontal="center" vertical="center" wrapText="1"/>
    </xf>
    <xf numFmtId="189" fontId="36" fillId="0" borderId="25" xfId="82" applyNumberFormat="1" applyFont="1" applyFill="1" applyBorder="1" applyAlignment="1">
      <alignment horizontal="center" vertical="center" wrapText="1"/>
    </xf>
    <xf numFmtId="189" fontId="37" fillId="0" borderId="26" xfId="1" applyNumberFormat="1" applyFont="1" applyFill="1" applyBorder="1" applyAlignment="1">
      <alignment horizontal="right" vertical="center"/>
    </xf>
    <xf numFmtId="41" fontId="37" fillId="0" borderId="23" xfId="1" applyFont="1" applyFill="1" applyBorder="1" applyAlignment="1">
      <alignment horizontal="right" vertical="center"/>
    </xf>
  </cellXfs>
  <cellStyles count="83">
    <cellStyle name="20% - 강조색1 2" xfId="3"/>
    <cellStyle name="20% - 강조색2 2" xfId="4"/>
    <cellStyle name="20% - 강조색3 2" xfId="5"/>
    <cellStyle name="20% - 강조색4 2" xfId="6"/>
    <cellStyle name="20% - 강조색5 2" xfId="7"/>
    <cellStyle name="20% - 강조색6 2" xfId="8"/>
    <cellStyle name="40% - 강조색1 2" xfId="9"/>
    <cellStyle name="40% - 강조색2 2" xfId="10"/>
    <cellStyle name="40% - 강조색3 2" xfId="11"/>
    <cellStyle name="40% - 강조색4 2" xfId="12"/>
    <cellStyle name="40% - 강조색5 2" xfId="13"/>
    <cellStyle name="40% - 강조색6 2" xfId="14"/>
    <cellStyle name="60% - 강조색1 2" xfId="15"/>
    <cellStyle name="60% - 강조색2 2" xfId="16"/>
    <cellStyle name="60% - 강조색3 2" xfId="17"/>
    <cellStyle name="60% - 강조색4 2" xfId="18"/>
    <cellStyle name="60% - 강조색5 2" xfId="19"/>
    <cellStyle name="60% - 강조색6 2" xfId="20"/>
    <cellStyle name="Comma [0]_CCOCPX" xfId="65"/>
    <cellStyle name="Comma_Capex" xfId="66"/>
    <cellStyle name="Currency [0]_CCOCPX" xfId="67"/>
    <cellStyle name="Currency_CCOCPX" xfId="68"/>
    <cellStyle name="Euro" xfId="69"/>
    <cellStyle name="Grey" xfId="70"/>
    <cellStyle name="Input [yellow]" xfId="71"/>
    <cellStyle name="Normal - Style1" xfId="72"/>
    <cellStyle name="Normal_A" xfId="73"/>
    <cellStyle name="Percent [2]" xfId="74"/>
    <cellStyle name="강조색1 2" xfId="21"/>
    <cellStyle name="강조색2 2" xfId="22"/>
    <cellStyle name="강조색3 2" xfId="23"/>
    <cellStyle name="강조색4 2" xfId="24"/>
    <cellStyle name="강조색5 2" xfId="25"/>
    <cellStyle name="강조색6 2" xfId="26"/>
    <cellStyle name="경고문 2" xfId="27"/>
    <cellStyle name="계산 2" xfId="28"/>
    <cellStyle name="나쁨 2" xfId="29"/>
    <cellStyle name="메모 2" xfId="30"/>
    <cellStyle name="백분율 2" xfId="80"/>
    <cellStyle name="보통 2" xfId="31"/>
    <cellStyle name="설명 텍스트 2" xfId="32"/>
    <cellStyle name="셀 확인 2" xfId="33"/>
    <cellStyle name="쉼표 [0]" xfId="1" builtinId="6"/>
    <cellStyle name="쉼표 [0] 2" xfId="34"/>
    <cellStyle name="쉼표 [0] 3" xfId="35"/>
    <cellStyle name="쉼표 [0] 4" xfId="36"/>
    <cellStyle name="쉼표 [0] 5" xfId="37"/>
    <cellStyle name="쉼표 [0] 6" xfId="77"/>
    <cellStyle name="쉼표 [0] 7" xfId="81"/>
    <cellStyle name="스타일 1" xfId="38"/>
    <cellStyle name="연결된 셀 2" xfId="39"/>
    <cellStyle name="요약 2" xfId="40"/>
    <cellStyle name="입력 2" xfId="41"/>
    <cellStyle name="제목 1 2" xfId="42"/>
    <cellStyle name="제목 2 2" xfId="43"/>
    <cellStyle name="제목 3 2" xfId="44"/>
    <cellStyle name="제목 4 2" xfId="45"/>
    <cellStyle name="제목 5" xfId="46"/>
    <cellStyle name="좋음 2" xfId="47"/>
    <cellStyle name="출력 2" xfId="48"/>
    <cellStyle name="콤마 [0]_(월초P)" xfId="49"/>
    <cellStyle name="콤마_6월환산" xfId="50"/>
    <cellStyle name="표준" xfId="0" builtinId="0"/>
    <cellStyle name="표준 10" xfId="51"/>
    <cellStyle name="표준 11" xfId="52"/>
    <cellStyle name="표준 12" xfId="78"/>
    <cellStyle name="표준 13" xfId="75"/>
    <cellStyle name="표준 2" xfId="53"/>
    <cellStyle name="표준 2 2" xfId="76"/>
    <cellStyle name="표준 2 3" xfId="79"/>
    <cellStyle name="표준 3" xfId="54"/>
    <cellStyle name="표준 3 2" xfId="55"/>
    <cellStyle name="표준 3 3" xfId="56"/>
    <cellStyle name="표준 3 4" xfId="57"/>
    <cellStyle name="표준 3_2012-7월통보(5월접수분)" xfId="58"/>
    <cellStyle name="표준 4" xfId="59"/>
    <cellStyle name="표준 5" xfId="60"/>
    <cellStyle name="표준 6" xfId="61"/>
    <cellStyle name="표준 7" xfId="62"/>
    <cellStyle name="표준 8" xfId="63"/>
    <cellStyle name="표준 9" xfId="64"/>
    <cellStyle name="표준_(20081101)한약제제급여목록및상한금액표_별표" xfId="82"/>
    <cellStyle name="표준_의보원가계산 수정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view="pageBreakPreview" zoomScaleNormal="100" zoomScaleSheetLayoutView="100" workbookViewId="0">
      <pane ySplit="3" topLeftCell="A4" activePane="bottomLeft" state="frozen"/>
      <selection pane="bottomLeft"/>
    </sheetView>
  </sheetViews>
  <sheetFormatPr defaultRowHeight="12" x14ac:dyDescent="0.15"/>
  <cols>
    <col min="1" max="1" width="4.77734375" style="18" customWidth="1"/>
    <col min="2" max="2" width="9.77734375" style="18" customWidth="1"/>
    <col min="3" max="3" width="10.77734375" style="19" customWidth="1"/>
    <col min="4" max="4" width="35.77734375" style="20" customWidth="1"/>
    <col min="5" max="5" width="20.77734375" style="20" customWidth="1"/>
    <col min="6" max="6" width="9.77734375" style="21" customWidth="1"/>
    <col min="7" max="7" width="13.77734375" style="22" customWidth="1"/>
    <col min="8" max="8" width="11.77734375" style="23" customWidth="1"/>
    <col min="9" max="16384" width="8.88671875" style="17"/>
  </cols>
  <sheetData>
    <row r="1" spans="1:8" ht="30" customHeight="1" x14ac:dyDescent="0.15">
      <c r="A1" s="12" t="s">
        <v>17</v>
      </c>
      <c r="B1" s="12"/>
      <c r="C1" s="12"/>
      <c r="D1" s="12"/>
      <c r="E1" s="12"/>
      <c r="F1" s="12"/>
      <c r="G1" s="12"/>
      <c r="H1" s="12"/>
    </row>
    <row r="2" spans="1:8" s="25" customFormat="1" ht="18.75" x14ac:dyDescent="0.15">
      <c r="A2" s="15" t="s">
        <v>20</v>
      </c>
      <c r="B2" s="24"/>
      <c r="F2" s="26"/>
    </row>
    <row r="3" spans="1:8" s="16" customFormat="1" ht="30" customHeight="1" x14ac:dyDescent="0.15">
      <c r="A3" s="8" t="s">
        <v>9</v>
      </c>
      <c r="B3" s="8" t="s">
        <v>10</v>
      </c>
      <c r="C3" s="29" t="s">
        <v>16</v>
      </c>
      <c r="D3" s="29" t="s">
        <v>11</v>
      </c>
      <c r="E3" s="29" t="s">
        <v>12</v>
      </c>
      <c r="F3" s="30" t="s">
        <v>13</v>
      </c>
      <c r="G3" s="31" t="s">
        <v>14</v>
      </c>
      <c r="H3" s="32" t="s">
        <v>15</v>
      </c>
    </row>
    <row r="4" spans="1:8" ht="20.100000000000001" customHeight="1" x14ac:dyDescent="0.15">
      <c r="A4" s="11">
        <v>1</v>
      </c>
      <c r="B4" s="33" t="s">
        <v>0</v>
      </c>
      <c r="C4" s="27">
        <v>623003950</v>
      </c>
      <c r="D4" s="34" t="s">
        <v>23</v>
      </c>
      <c r="E4" s="34" t="s">
        <v>24</v>
      </c>
      <c r="F4" s="39">
        <v>1</v>
      </c>
      <c r="G4" s="28">
        <v>1</v>
      </c>
      <c r="H4" s="38">
        <v>17</v>
      </c>
    </row>
    <row r="5" spans="1:8" ht="20.100000000000001" customHeight="1" x14ac:dyDescent="0.15">
      <c r="A5" s="11">
        <v>2</v>
      </c>
      <c r="B5" s="33" t="s">
        <v>0</v>
      </c>
      <c r="C5" s="27">
        <v>623003940</v>
      </c>
      <c r="D5" s="34" t="s">
        <v>25</v>
      </c>
      <c r="E5" s="34" t="s">
        <v>24</v>
      </c>
      <c r="F5" s="39">
        <v>1</v>
      </c>
      <c r="G5" s="28">
        <v>1</v>
      </c>
      <c r="H5" s="38">
        <v>17</v>
      </c>
    </row>
  </sheetData>
  <phoneticPr fontId="3" type="noConversion"/>
  <pageMargins left="0.39370078740157483" right="0.39370078740157483" top="0.7480314960629921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view="pageBreakPreview" zoomScaleNormal="100" zoomScaleSheetLayoutView="100" workbookViewId="0">
      <pane ySplit="3" topLeftCell="A4" activePane="bottomLeft" state="frozen"/>
      <selection pane="bottomLeft"/>
    </sheetView>
  </sheetViews>
  <sheetFormatPr defaultRowHeight="12" x14ac:dyDescent="0.15"/>
  <cols>
    <col min="1" max="1" width="4.77734375" style="3" customWidth="1"/>
    <col min="2" max="2" width="9.77734375" style="3" customWidth="1"/>
    <col min="3" max="3" width="10.77734375" style="6" customWidth="1"/>
    <col min="4" max="4" width="35.77734375" style="5" customWidth="1"/>
    <col min="5" max="5" width="20.77734375" style="4" customWidth="1"/>
    <col min="6" max="6" width="9.77734375" style="7" customWidth="1"/>
    <col min="7" max="7" width="13.77734375" style="7" customWidth="1"/>
    <col min="8" max="8" width="11.77734375" style="7" customWidth="1"/>
    <col min="9" max="16384" width="8.88671875" style="1"/>
  </cols>
  <sheetData>
    <row r="1" spans="1:8" ht="30" customHeight="1" x14ac:dyDescent="0.15">
      <c r="A1" s="12" t="s">
        <v>18</v>
      </c>
    </row>
    <row r="2" spans="1:8" s="25" customFormat="1" ht="18.75" x14ac:dyDescent="0.15">
      <c r="A2" s="15" t="s">
        <v>19</v>
      </c>
      <c r="B2" s="24"/>
      <c r="F2" s="26"/>
    </row>
    <row r="3" spans="1:8" s="2" customFormat="1" ht="30" customHeight="1" x14ac:dyDescent="0.15">
      <c r="A3" s="8" t="s">
        <v>6</v>
      </c>
      <c r="B3" s="8" t="s">
        <v>5</v>
      </c>
      <c r="C3" s="9" t="s">
        <v>3</v>
      </c>
      <c r="D3" s="9" t="s">
        <v>7</v>
      </c>
      <c r="E3" s="9" t="s">
        <v>4</v>
      </c>
      <c r="F3" s="13" t="s">
        <v>8</v>
      </c>
      <c r="G3" s="14" t="s">
        <v>1</v>
      </c>
      <c r="H3" s="10" t="s">
        <v>2</v>
      </c>
    </row>
    <row r="4" spans="1:8" ht="20.100000000000001" customHeight="1" x14ac:dyDescent="0.15">
      <c r="A4" s="33">
        <v>1</v>
      </c>
      <c r="B4" s="33" t="s">
        <v>0</v>
      </c>
      <c r="C4" s="37">
        <v>658104530</v>
      </c>
      <c r="D4" s="34" t="s">
        <v>21</v>
      </c>
      <c r="E4" s="34" t="s">
        <v>22</v>
      </c>
      <c r="F4" s="35">
        <v>1</v>
      </c>
      <c r="G4" s="36">
        <v>1</v>
      </c>
      <c r="H4" s="38">
        <v>17</v>
      </c>
    </row>
  </sheetData>
  <phoneticPr fontId="3" type="noConversion"/>
  <pageMargins left="0.39370078740157483" right="0.39370078740157483" top="0.74803149606299213" bottom="0.74803149606299213" header="0.31496062992125984" footer="0.31496062992125984"/>
  <pageSetup paperSize="9" scale="8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view="pageBreakPreview" zoomScaleNormal="100" zoomScaleSheetLayoutView="100" workbookViewId="0"/>
  </sheetViews>
  <sheetFormatPr defaultRowHeight="13.5" x14ac:dyDescent="0.15"/>
  <cols>
    <col min="1" max="1" width="20" customWidth="1"/>
    <col min="2" max="3" width="7.109375" customWidth="1"/>
    <col min="4" max="6" width="10.88671875" customWidth="1"/>
  </cols>
  <sheetData>
    <row r="1" spans="1:6" ht="30" customHeight="1" x14ac:dyDescent="0.15">
      <c r="A1" s="12" t="s">
        <v>41</v>
      </c>
    </row>
    <row r="3" spans="1:6" x14ac:dyDescent="0.15">
      <c r="A3" s="72" t="s">
        <v>26</v>
      </c>
      <c r="B3" s="74" t="s">
        <v>27</v>
      </c>
      <c r="C3" s="75"/>
      <c r="D3" s="78" t="s">
        <v>28</v>
      </c>
      <c r="E3" s="79"/>
      <c r="F3" s="80" t="s">
        <v>29</v>
      </c>
    </row>
    <row r="4" spans="1:6" ht="22.5" x14ac:dyDescent="0.15">
      <c r="A4" s="73"/>
      <c r="B4" s="76"/>
      <c r="C4" s="77"/>
      <c r="D4" s="40" t="s">
        <v>30</v>
      </c>
      <c r="E4" s="41" t="s">
        <v>31</v>
      </c>
      <c r="F4" s="81"/>
    </row>
    <row r="5" spans="1:6" x14ac:dyDescent="0.15">
      <c r="A5" s="42" t="s">
        <v>32</v>
      </c>
      <c r="B5" s="43" t="s">
        <v>33</v>
      </c>
      <c r="C5" s="44" t="s">
        <v>34</v>
      </c>
      <c r="D5" s="45">
        <v>7.5</v>
      </c>
      <c r="E5" s="46">
        <v>2.1</v>
      </c>
      <c r="F5" s="47">
        <v>269.39999999999998</v>
      </c>
    </row>
    <row r="6" spans="1:6" x14ac:dyDescent="0.15">
      <c r="A6" s="48" t="s">
        <v>35</v>
      </c>
      <c r="B6" s="49" t="s">
        <v>36</v>
      </c>
      <c r="C6" s="50" t="s">
        <v>37</v>
      </c>
      <c r="D6" s="51">
        <v>7.5</v>
      </c>
      <c r="E6" s="52">
        <v>1.2749999999999999</v>
      </c>
      <c r="F6" s="47">
        <v>250.4</v>
      </c>
    </row>
    <row r="7" spans="1:6" x14ac:dyDescent="0.15">
      <c r="A7" s="48"/>
      <c r="B7" s="53" t="s">
        <v>38</v>
      </c>
      <c r="C7" s="54" t="s">
        <v>39</v>
      </c>
      <c r="D7" s="55">
        <v>3.75</v>
      </c>
      <c r="E7" s="56">
        <v>0.63400000000000001</v>
      </c>
      <c r="F7" s="47">
        <v>112.4</v>
      </c>
    </row>
    <row r="8" spans="1:6" x14ac:dyDescent="0.15">
      <c r="A8" s="57"/>
      <c r="B8" s="58" t="s">
        <v>40</v>
      </c>
      <c r="C8" s="59"/>
      <c r="D8" s="55">
        <v>18.75</v>
      </c>
      <c r="E8" s="60">
        <v>4.0090000000000003</v>
      </c>
      <c r="F8" s="61">
        <f>SUM(F5:F7)</f>
        <v>632.19999999999993</v>
      </c>
    </row>
  </sheetData>
  <mergeCells count="4">
    <mergeCell ref="A3:A4"/>
    <mergeCell ref="B3:C4"/>
    <mergeCell ref="D3:E3"/>
    <mergeCell ref="F3:F4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landscape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view="pageBreakPreview" zoomScaleNormal="100" zoomScaleSheetLayoutView="100" workbookViewId="0"/>
  </sheetViews>
  <sheetFormatPr defaultRowHeight="13.5" x14ac:dyDescent="0.15"/>
  <cols>
    <col min="1" max="1" width="18.33203125" customWidth="1"/>
    <col min="2" max="2" width="5.5546875" bestFit="1" customWidth="1"/>
    <col min="3" max="3" width="11" bestFit="1" customWidth="1"/>
    <col min="4" max="4" width="16.33203125" bestFit="1" customWidth="1"/>
    <col min="5" max="5" width="12.77734375" bestFit="1" customWidth="1"/>
    <col min="6" max="6" width="8.33203125" bestFit="1" customWidth="1"/>
    <col min="7" max="7" width="15.44140625" bestFit="1" customWidth="1"/>
    <col min="8" max="8" width="12.6640625" bestFit="1" customWidth="1"/>
    <col min="9" max="9" width="13.21875" bestFit="1" customWidth="1"/>
    <col min="10" max="10" width="15.5546875" customWidth="1"/>
  </cols>
  <sheetData>
    <row r="1" spans="1:10" ht="30" customHeight="1" x14ac:dyDescent="0.15">
      <c r="A1" s="12" t="s">
        <v>54</v>
      </c>
      <c r="B1" s="3"/>
      <c r="C1" s="3"/>
      <c r="D1" s="5"/>
      <c r="E1" s="5"/>
      <c r="F1" s="5"/>
      <c r="G1" s="5"/>
      <c r="H1" s="5"/>
      <c r="I1" s="5"/>
      <c r="J1" s="62"/>
    </row>
    <row r="2" spans="1:10" ht="15" customHeight="1" x14ac:dyDescent="0.15">
      <c r="A2" s="63"/>
      <c r="B2" s="3"/>
      <c r="C2" s="3"/>
      <c r="D2" s="5"/>
      <c r="E2" s="5"/>
      <c r="F2" s="5"/>
      <c r="G2" s="5"/>
      <c r="H2" s="5"/>
      <c r="I2" s="5"/>
      <c r="J2" s="62"/>
    </row>
    <row r="3" spans="1:10" ht="20.100000000000001" customHeight="1" x14ac:dyDescent="0.15">
      <c r="A3" s="83" t="s">
        <v>42</v>
      </c>
      <c r="B3" s="83" t="s">
        <v>43</v>
      </c>
      <c r="C3" s="83" t="s">
        <v>3</v>
      </c>
      <c r="D3" s="84" t="s">
        <v>7</v>
      </c>
      <c r="E3" s="84" t="s">
        <v>44</v>
      </c>
      <c r="F3" s="85" t="s">
        <v>45</v>
      </c>
      <c r="G3" s="82" t="s">
        <v>46</v>
      </c>
      <c r="H3" s="100" t="s">
        <v>47</v>
      </c>
      <c r="I3" s="97" t="s">
        <v>48</v>
      </c>
      <c r="J3" s="70" t="s">
        <v>49</v>
      </c>
    </row>
    <row r="4" spans="1:10" ht="20.100000000000001" customHeight="1" x14ac:dyDescent="0.15">
      <c r="A4" s="83"/>
      <c r="B4" s="83"/>
      <c r="C4" s="83"/>
      <c r="D4" s="84"/>
      <c r="E4" s="84"/>
      <c r="F4" s="85"/>
      <c r="G4" s="82"/>
      <c r="H4" s="100"/>
      <c r="I4" s="98" t="s">
        <v>7</v>
      </c>
      <c r="J4" s="64" t="s">
        <v>7</v>
      </c>
    </row>
    <row r="5" spans="1:10" ht="20.100000000000001" customHeight="1" x14ac:dyDescent="0.15">
      <c r="A5" s="33">
        <v>1</v>
      </c>
      <c r="B5" s="33" t="s">
        <v>0</v>
      </c>
      <c r="C5" s="65">
        <v>658104530</v>
      </c>
      <c r="D5" s="67" t="s">
        <v>50</v>
      </c>
      <c r="E5" s="67" t="s">
        <v>51</v>
      </c>
      <c r="F5" s="68">
        <v>1</v>
      </c>
      <c r="G5" s="69">
        <v>1</v>
      </c>
      <c r="H5" s="101">
        <v>17</v>
      </c>
      <c r="I5" s="99" t="s">
        <v>52</v>
      </c>
      <c r="J5" s="66" t="s">
        <v>53</v>
      </c>
    </row>
    <row r="6" spans="1:10" ht="20.100000000000001" customHeight="1" x14ac:dyDescent="0.15">
      <c r="A6" s="25"/>
      <c r="B6" s="25"/>
      <c r="C6" s="86"/>
      <c r="D6" s="87"/>
      <c r="E6" s="87"/>
      <c r="F6" s="88"/>
      <c r="G6" s="89"/>
      <c r="H6" s="90"/>
      <c r="I6" s="91"/>
      <c r="J6" s="92"/>
    </row>
    <row r="7" spans="1:10" ht="20.100000000000001" customHeight="1" x14ac:dyDescent="0.15">
      <c r="A7" s="25"/>
      <c r="B7" s="25"/>
      <c r="C7" s="86"/>
      <c r="D7" s="87"/>
      <c r="E7" s="87"/>
      <c r="F7" s="88"/>
      <c r="G7" s="89"/>
      <c r="H7" s="90"/>
      <c r="I7" s="91"/>
      <c r="J7" s="92"/>
    </row>
    <row r="8" spans="1:10" ht="28.5" customHeight="1" x14ac:dyDescent="0.15">
      <c r="A8" s="12" t="s">
        <v>55</v>
      </c>
      <c r="B8" s="25"/>
      <c r="C8" s="86"/>
      <c r="D8" s="87"/>
      <c r="E8" s="87"/>
      <c r="F8" s="88"/>
      <c r="G8" s="89"/>
      <c r="H8" s="90"/>
      <c r="I8" s="91"/>
      <c r="J8" s="92"/>
    </row>
    <row r="10" spans="1:10" ht="17.25" customHeight="1" x14ac:dyDescent="0.15">
      <c r="A10" s="72" t="s">
        <v>26</v>
      </c>
      <c r="B10" s="74" t="s">
        <v>27</v>
      </c>
      <c r="C10" s="75"/>
      <c r="D10" s="78" t="s">
        <v>28</v>
      </c>
      <c r="E10" s="79"/>
      <c r="F10" s="106" t="s">
        <v>29</v>
      </c>
      <c r="G10" s="97" t="s">
        <v>48</v>
      </c>
      <c r="H10" s="71" t="s">
        <v>49</v>
      </c>
    </row>
    <row r="11" spans="1:10" ht="17.25" customHeight="1" x14ac:dyDescent="0.15">
      <c r="A11" s="73"/>
      <c r="B11" s="76"/>
      <c r="C11" s="77"/>
      <c r="D11" s="40" t="s">
        <v>30</v>
      </c>
      <c r="E11" s="41" t="s">
        <v>31</v>
      </c>
      <c r="F11" s="107"/>
      <c r="G11" s="98" t="s">
        <v>56</v>
      </c>
      <c r="H11" s="64" t="s">
        <v>56</v>
      </c>
    </row>
    <row r="12" spans="1:10" ht="17.25" customHeight="1" x14ac:dyDescent="0.15">
      <c r="A12" s="42" t="s">
        <v>32</v>
      </c>
      <c r="B12" s="43" t="s">
        <v>33</v>
      </c>
      <c r="C12" s="44" t="s">
        <v>34</v>
      </c>
      <c r="D12" s="45">
        <v>7.5</v>
      </c>
      <c r="E12" s="46">
        <v>2.1</v>
      </c>
      <c r="F12" s="108">
        <v>269.39999999999998</v>
      </c>
      <c r="G12" s="102">
        <v>269.39999999999998</v>
      </c>
      <c r="H12" s="94" t="s">
        <v>57</v>
      </c>
    </row>
    <row r="13" spans="1:10" ht="17.25" customHeight="1" x14ac:dyDescent="0.15">
      <c r="A13" s="48" t="s">
        <v>35</v>
      </c>
      <c r="B13" s="49" t="s">
        <v>36</v>
      </c>
      <c r="C13" s="50" t="s">
        <v>37</v>
      </c>
      <c r="D13" s="51">
        <v>7.5</v>
      </c>
      <c r="E13" s="52">
        <v>1.2749999999999999</v>
      </c>
      <c r="F13" s="108">
        <v>250.4</v>
      </c>
      <c r="G13" s="103">
        <v>250.4</v>
      </c>
      <c r="H13" s="95" t="s">
        <v>57</v>
      </c>
    </row>
    <row r="14" spans="1:10" ht="17.25" customHeight="1" x14ac:dyDescent="0.15">
      <c r="A14" s="48"/>
      <c r="B14" s="53" t="s">
        <v>38</v>
      </c>
      <c r="C14" s="54" t="s">
        <v>39</v>
      </c>
      <c r="D14" s="55">
        <v>3.75</v>
      </c>
      <c r="E14" s="56">
        <v>0.63400000000000001</v>
      </c>
      <c r="F14" s="108">
        <v>112.4</v>
      </c>
      <c r="G14" s="104">
        <v>112.4</v>
      </c>
      <c r="H14" s="96" t="s">
        <v>57</v>
      </c>
    </row>
    <row r="15" spans="1:10" ht="17.25" customHeight="1" x14ac:dyDescent="0.15">
      <c r="A15" s="57"/>
      <c r="B15" s="58" t="s">
        <v>40</v>
      </c>
      <c r="C15" s="59"/>
      <c r="D15" s="55">
        <v>18.75</v>
      </c>
      <c r="E15" s="60">
        <v>4.0090000000000003</v>
      </c>
      <c r="F15" s="109">
        <f>SUM(F12:F14)</f>
        <v>632.19999999999993</v>
      </c>
      <c r="G15" s="105">
        <v>632.20000000000005</v>
      </c>
      <c r="H15" s="93">
        <v>632</v>
      </c>
    </row>
  </sheetData>
  <mergeCells count="12">
    <mergeCell ref="A10:A11"/>
    <mergeCell ref="B10:C11"/>
    <mergeCell ref="D10:E10"/>
    <mergeCell ref="F10:F11"/>
    <mergeCell ref="G3:G4"/>
    <mergeCell ref="H3:H4"/>
    <mergeCell ref="A3:A4"/>
    <mergeCell ref="B3:B4"/>
    <mergeCell ref="C3:C4"/>
    <mergeCell ref="D3:D4"/>
    <mergeCell ref="E3:E4"/>
    <mergeCell ref="F3:F4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80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별지1_단미신설내역</vt:lpstr>
      <vt:lpstr>별지2_단미변경내역</vt:lpstr>
      <vt:lpstr>별지3_기준처방별 가격표 정정내역</vt:lpstr>
      <vt:lpstr>별첨_변경대비표</vt:lpstr>
      <vt:lpstr>별지2_단미변경내역!Print_Area</vt:lpstr>
      <vt:lpstr>별지2_단미변경내역!Print_Titles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Mohw-UP</cp:lastModifiedBy>
  <cp:lastPrinted>2015-07-09T05:10:40Z</cp:lastPrinted>
  <dcterms:created xsi:type="dcterms:W3CDTF">2009-10-05T08:52:08Z</dcterms:created>
  <dcterms:modified xsi:type="dcterms:W3CDTF">2015-07-13T11:24:47Z</dcterms:modified>
</cp:coreProperties>
</file>