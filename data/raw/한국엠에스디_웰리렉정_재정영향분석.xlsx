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laboration.merck.com/sites/OMA/Shared Documents/Team C/Welireg/LS004/4th submission(target 26.3.18)/20260319 제출/"/>
    </mc:Choice>
  </mc:AlternateContent>
  <xr:revisionPtr revIDLastSave="402" documentId="8_{35FDF063-C71B-444B-861D-77C74D81324B}" xr6:coauthVersionLast="47" xr6:coauthVersionMax="47" xr10:uidLastSave="{BB3E184E-6A18-4E4D-93BB-C1100375C0E5}"/>
  <bookViews>
    <workbookView xWindow="-120" yWindow="-120" windowWidth="29040" windowHeight="17520" activeTab="2" xr2:uid="{06716B31-0011-4FC6-9F4F-F1CD9AE1F699}"/>
  </bookViews>
  <sheets>
    <sheet name="Setting" sheetId="20" r:id="rId1"/>
    <sheet name="Epi_Population" sheetId="13" r:id="rId2"/>
    <sheet name="Cost_drug" sheetId="6" r:id="rId3"/>
    <sheet name="Cost_treatment" sheetId="8" r:id="rId4"/>
    <sheet name="Budget Impact" sheetId="9" r:id="rId5"/>
    <sheet name="Reference" sheetId="3" r:id="rId6"/>
    <sheet name="Ref_하나은행" sheetId="14" state="hidden" r:id="rId7"/>
  </sheets>
  <externalReferences>
    <externalReference r:id="rId8"/>
  </externalReferences>
  <definedNames>
    <definedName name="title">'[1]Central Control'!$C$9</definedName>
    <definedName name="Tx_1">'[1]Central Control'!$C$95</definedName>
    <definedName name="Tx_1a">'[1]Central Control'!$C$95</definedName>
    <definedName name="Tx_2">'[1]Central Control'!$C$96</definedName>
    <definedName name="Tx_2a">'[1]Central Control'!$C$96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6" l="1"/>
  <c r="F19" i="13"/>
  <c r="F16" i="13"/>
  <c r="F13" i="13"/>
  <c r="D55" i="3"/>
  <c r="D54" i="3"/>
  <c r="D53" i="3"/>
  <c r="H48" i="3"/>
  <c r="H47" i="3"/>
  <c r="H46" i="3"/>
  <c r="H45" i="3"/>
  <c r="H44" i="3"/>
  <c r="H43" i="3"/>
  <c r="H42" i="3"/>
  <c r="D48" i="3"/>
  <c r="D47" i="3"/>
  <c r="D46" i="3"/>
  <c r="D45" i="3"/>
  <c r="D44" i="3"/>
  <c r="D43" i="3"/>
  <c r="D42" i="3"/>
  <c r="D56" i="3" l="1"/>
  <c r="L45" i="3"/>
  <c r="L46" i="3"/>
  <c r="K43" i="3"/>
  <c r="F54" i="3" l="1"/>
  <c r="F53" i="3"/>
  <c r="F55" i="3" l="1"/>
  <c r="F56" i="3" s="1"/>
  <c r="F22" i="13" s="1"/>
  <c r="D32" i="3" l="1"/>
  <c r="D33" i="3" l="1"/>
  <c r="D31" i="3"/>
  <c r="D34" i="3" l="1"/>
  <c r="F34" i="3"/>
  <c r="L34" i="3"/>
  <c r="H34" i="3"/>
  <c r="J34" i="3"/>
  <c r="K34" i="3"/>
  <c r="G34" i="3"/>
  <c r="E34" i="3"/>
  <c r="I34" i="3"/>
  <c r="I52" i="13" l="1"/>
  <c r="G52" i="13"/>
  <c r="E52" i="13"/>
  <c r="I47" i="13"/>
  <c r="G47" i="13"/>
  <c r="E47" i="13"/>
  <c r="C40" i="20"/>
  <c r="B1" i="20"/>
  <c r="H36" i="20" l="1"/>
  <c r="H37" i="20"/>
  <c r="H38" i="20"/>
  <c r="H35" i="20"/>
  <c r="H34" i="20"/>
  <c r="I58" i="13"/>
  <c r="G58" i="13"/>
  <c r="E58" i="13"/>
  <c r="H39" i="20" l="1"/>
  <c r="H43" i="20" l="1"/>
  <c r="H44" i="20" s="1"/>
  <c r="H45" i="20" s="1"/>
  <c r="H46" i="20" s="1"/>
  <c r="E38" i="13"/>
  <c r="E39" i="13"/>
  <c r="E37" i="13" l="1"/>
  <c r="E40" i="13" s="1"/>
  <c r="E41" i="13" s="1"/>
  <c r="E43" i="13" s="1"/>
  <c r="H47" i="20"/>
  <c r="G36" i="13"/>
  <c r="G38" i="13" l="1"/>
  <c r="H48" i="20"/>
  <c r="I36" i="13"/>
  <c r="I39" i="13" l="1"/>
  <c r="I38" i="13"/>
  <c r="I37" i="13"/>
  <c r="I40" i="13" l="1"/>
  <c r="I41" i="13" s="1"/>
  <c r="I43" i="13" s="1"/>
  <c r="D37" i="9" l="1"/>
  <c r="D35" i="9"/>
  <c r="E12" i="9"/>
  <c r="E29" i="9" l="1"/>
  <c r="D22" i="9"/>
  <c r="E57" i="9"/>
  <c r="E50" i="9"/>
  <c r="F12" i="9"/>
  <c r="D40" i="9"/>
  <c r="F57" i="9" l="1"/>
  <c r="E22" i="9"/>
  <c r="G12" i="9"/>
  <c r="F50" i="9"/>
  <c r="E40" i="9"/>
  <c r="I29" i="9"/>
  <c r="F40" i="9" l="1"/>
  <c r="F22" i="9"/>
  <c r="M29" i="9"/>
  <c r="G50" i="9"/>
  <c r="G57" i="9"/>
  <c r="F20" i="6" l="1"/>
  <c r="B20" i="6"/>
  <c r="J24" i="6"/>
  <c r="J23" i="6"/>
  <c r="J21" i="6"/>
  <c r="B18" i="6"/>
  <c r="B19" i="6"/>
  <c r="B21" i="6"/>
  <c r="B22" i="6"/>
  <c r="B23" i="6"/>
  <c r="B24" i="6"/>
  <c r="B17" i="6"/>
  <c r="B16" i="6"/>
  <c r="G18" i="6"/>
  <c r="K21" i="6" l="1"/>
  <c r="L21" i="6" s="1"/>
  <c r="K23" i="6"/>
  <c r="L23" i="6" s="1"/>
  <c r="K24" i="6"/>
  <c r="L24" i="6" s="1"/>
  <c r="H20" i="6"/>
  <c r="G22" i="6"/>
  <c r="L22" i="6" l="1"/>
  <c r="I22" i="6"/>
  <c r="J22" i="6" s="1"/>
  <c r="K22" i="6" s="1"/>
  <c r="L20" i="6"/>
  <c r="J20" i="6"/>
  <c r="K20" i="6" s="1"/>
  <c r="M36" i="9" l="1"/>
  <c r="O37" i="9"/>
  <c r="O36" i="9"/>
  <c r="K37" i="9"/>
  <c r="K36" i="9"/>
  <c r="G37" i="9"/>
  <c r="G36" i="9"/>
  <c r="O35" i="9"/>
  <c r="M35" i="9"/>
  <c r="O34" i="9"/>
  <c r="M34" i="9"/>
  <c r="K35" i="9"/>
  <c r="I35" i="9"/>
  <c r="K34" i="9"/>
  <c r="I34" i="9"/>
  <c r="G35" i="9"/>
  <c r="G34" i="9"/>
  <c r="E35" i="9"/>
  <c r="E34" i="9"/>
  <c r="B1" i="13"/>
  <c r="G37" i="13" l="1"/>
  <c r="G39" i="13"/>
  <c r="G40" i="13" l="1"/>
  <c r="G41" i="13" s="1"/>
  <c r="G43" i="13" s="1"/>
  <c r="I36" i="9"/>
  <c r="E14" i="9"/>
  <c r="E37" i="9" s="1"/>
  <c r="D43" i="9"/>
  <c r="D44" i="9" s="1"/>
  <c r="E43" i="9"/>
  <c r="E44" i="9" s="1"/>
  <c r="F43" i="9"/>
  <c r="F44" i="9" s="1"/>
  <c r="C14" i="8"/>
  <c r="F30" i="8"/>
  <c r="G58" i="9" s="1"/>
  <c r="E30" i="8"/>
  <c r="F58" i="9" s="1"/>
  <c r="D30" i="8"/>
  <c r="E58" i="9" s="1"/>
  <c r="G73" i="9"/>
  <c r="E73" i="9"/>
  <c r="B1" i="6"/>
  <c r="G17" i="6"/>
  <c r="H17" i="6" s="1"/>
  <c r="C29" i="8"/>
  <c r="B1" i="9"/>
  <c r="B1" i="8"/>
  <c r="G38" i="8"/>
  <c r="G37" i="8"/>
  <c r="H37" i="8" s="1"/>
  <c r="F68" i="9" l="1"/>
  <c r="E68" i="9"/>
  <c r="G68" i="9"/>
  <c r="G70" i="9" s="1"/>
  <c r="H18" i="6"/>
  <c r="H22" i="6"/>
  <c r="G14" i="9"/>
  <c r="E36" i="9"/>
  <c r="F14" i="9"/>
  <c r="I37" i="9" s="1"/>
  <c r="E70" i="9" l="1"/>
  <c r="L18" i="6"/>
  <c r="L17" i="6"/>
  <c r="J17" i="6"/>
  <c r="K17" i="6" s="1"/>
  <c r="J18" i="6"/>
  <c r="K18" i="6" s="1"/>
  <c r="M37" i="9"/>
  <c r="I54" i="13" l="1"/>
  <c r="G54" i="13"/>
  <c r="E59" i="13" l="1"/>
  <c r="E31" i="9" s="1"/>
  <c r="F35" i="9" l="1"/>
  <c r="H49" i="13"/>
  <c r="K31" i="9" s="1"/>
  <c r="H36" i="13"/>
  <c r="H37" i="13" s="1"/>
  <c r="H38" i="13" l="1"/>
  <c r="H39" i="13"/>
  <c r="F37" i="9"/>
  <c r="F36" i="9"/>
  <c r="F34" i="9"/>
  <c r="H40" i="13" l="1"/>
  <c r="H41" i="13" s="1"/>
  <c r="F19" i="6"/>
  <c r="H19" i="6"/>
  <c r="H42" i="13" l="1"/>
  <c r="H43" i="13" s="1"/>
  <c r="H54" i="13" s="1"/>
  <c r="L36" i="9"/>
  <c r="L34" i="9"/>
  <c r="L35" i="9"/>
  <c r="L19" i="6"/>
  <c r="C30" i="6" s="1"/>
  <c r="J19" i="6"/>
  <c r="K19" i="6" s="1"/>
  <c r="J49" i="13" l="1"/>
  <c r="O31" i="9" s="1"/>
  <c r="I31" i="9"/>
  <c r="G59" i="13"/>
  <c r="J36" i="13"/>
  <c r="J37" i="13" s="1"/>
  <c r="J39" i="13" l="1"/>
  <c r="J38" i="13"/>
  <c r="F10" i="6"/>
  <c r="J40" i="13" l="1"/>
  <c r="J41" i="13" s="1"/>
  <c r="E22" i="8"/>
  <c r="H22" i="8" s="1"/>
  <c r="I22" i="8" s="1"/>
  <c r="D7" i="8"/>
  <c r="J42" i="13" l="1"/>
  <c r="J43" i="13" s="1"/>
  <c r="J54" i="13" s="1"/>
  <c r="F29" i="8"/>
  <c r="G59" i="9" s="1"/>
  <c r="D29" i="8"/>
  <c r="E59" i="9" s="1"/>
  <c r="E29" i="8"/>
  <c r="F59" i="9" s="1"/>
  <c r="I59" i="13" l="1"/>
  <c r="M31" i="9"/>
  <c r="F60" i="9"/>
  <c r="E60" i="9"/>
  <c r="G60" i="9"/>
  <c r="P36" i="9" l="1"/>
  <c r="P34" i="9"/>
  <c r="P35" i="9"/>
  <c r="N34" i="9"/>
  <c r="N37" i="9"/>
  <c r="N35" i="9"/>
  <c r="N36" i="9"/>
  <c r="H36" i="9"/>
  <c r="D41" i="9" s="1"/>
  <c r="E62" i="9" s="1"/>
  <c r="F41" i="9" l="1"/>
  <c r="F45" i="9" s="1"/>
  <c r="G61" i="9"/>
  <c r="H35" i="9"/>
  <c r="E61" i="9" s="1"/>
  <c r="H34" i="9"/>
  <c r="J36" i="9"/>
  <c r="E41" i="9" s="1"/>
  <c r="J35" i="9"/>
  <c r="F61" i="9" s="1"/>
  <c r="J37" i="9"/>
  <c r="J34" i="9"/>
  <c r="D45" i="9"/>
  <c r="G62" i="9" l="1"/>
  <c r="G63" i="9" s="1"/>
  <c r="G52" i="9"/>
  <c r="F23" i="9"/>
  <c r="E52" i="9"/>
  <c r="D23" i="9"/>
  <c r="E63" i="9"/>
  <c r="E45" i="9"/>
  <c r="F62" i="9"/>
  <c r="F63" i="9" s="1"/>
  <c r="F52" i="9" l="1"/>
  <c r="E2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tc={852EB127-6DAD-4580-A598-7437C1528DEF}</author>
    <author>tc={ED85935A-716D-422A-9EF9-F0298676FE8E}</author>
    <author>tc={29A24CE2-AFE8-436A-B097-6080684D78B0}</author>
  </authors>
  <commentList>
    <comment ref="K16" authorId="0" shapeId="0" xr:uid="{852EB127-6DAD-4580-A598-7437C1528DE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고가약(내복외용제 475원, 주사제 4,750원 이상) 8.69% / 저가약 10.41%</t>
      </text>
    </comment>
    <comment ref="I22" authorId="1" shapeId="0" xr:uid="{ED85935A-716D-422A-9EF9-F0298676FE8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별도 산식 계산</t>
      </text>
    </comment>
    <comment ref="I24" authorId="2" shapeId="0" xr:uid="{29A24CE2-AFE8-436A-B097-6080684D78B0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적으로급여되나약가가확인되지않는경우, compendium약가x0.65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12815E-1ECD-4803-87CC-65CE0BB04F2E}" keepAlive="1" name="쿼리 - 국민건강보험공단_희귀난치성질환(V216) 산정특례 신규환자 월별 현황_20260128 (1)" description="통합 문서의 '국민건강보험공단_희귀난치성질환(V216) 산정특례 신규환자 월별 현황_20260128 (1)' 쿼리에 대한 연결입니다." type="5" refreshedVersion="0" background="1" saveData="1">
    <dbPr connection="Provider=Microsoft.Mashup.OleDb.1;Data Source=$Workbook$;Location=&quot;국민건강보험공단_희귀난치성질환(V216) 산정특례 신규환자 월별 현황_20260128 (1)&quot;;Extended Properties=&quot;&quot;" command="SELECT * FROM [국민건강보험공단_희귀난치성질환(V216) 산정특례 신규환자 월별 현황_20260128 (1)]"/>
  </connection>
</connections>
</file>

<file path=xl/sharedStrings.xml><?xml version="1.0" encoding="utf-8"?>
<sst xmlns="http://schemas.openxmlformats.org/spreadsheetml/2006/main" count="532" uniqueCount="373">
  <si>
    <t>Settings</t>
    <phoneticPr fontId="5" type="noConversion"/>
  </si>
  <si>
    <t>Indication</t>
  </si>
  <si>
    <t>General</t>
    <phoneticPr fontId="5" type="noConversion"/>
  </si>
  <si>
    <t>Country</t>
  </si>
  <si>
    <t>Korea</t>
    <phoneticPr fontId="5" type="noConversion"/>
  </si>
  <si>
    <t>Currency</t>
  </si>
  <si>
    <t>₩</t>
    <phoneticPr fontId="5" type="noConversion"/>
  </si>
  <si>
    <t>Time horizon (years)</t>
  </si>
  <si>
    <t>Perspective</t>
  </si>
  <si>
    <t>payer</t>
    <phoneticPr fontId="5" type="noConversion"/>
  </si>
  <si>
    <t>Comparator</t>
    <phoneticPr fontId="5" type="noConversion"/>
  </si>
  <si>
    <t>Intervention</t>
    <phoneticPr fontId="5" type="noConversion"/>
  </si>
  <si>
    <t>belzutifan</t>
    <phoneticPr fontId="8" type="noConversion"/>
  </si>
  <si>
    <t>Surgery</t>
  </si>
  <si>
    <t>Epidemiological data</t>
    <phoneticPr fontId="5" type="noConversion"/>
  </si>
  <si>
    <t>연도(년)</t>
    <phoneticPr fontId="5" type="noConversion"/>
  </si>
  <si>
    <t>*상병코드 Q85.8(달리 분류되지 않는 기타 모반증)은 폰 히펠-린다우 증후군, 포이츠 제거스 증후군, 스터지-베버(-디미트리) 증후군 등을 포함함. (단, 실제 임상 현장에서는 이 3개의 질환 외 다른 상세불명의 희귀질환에 대해서도 동 상병코드로 적용함을 확인함)</t>
    <phoneticPr fontId="5" type="noConversion"/>
  </si>
  <si>
    <t>3. 2025-2030년 VHL병 성인 예상 환자수</t>
  </si>
  <si>
    <t>성인 VHL병 환자수(명)</t>
  </si>
  <si>
    <t>▶ Q85.8 내 VHL병 환자비율 적용하여 추정함</t>
  </si>
  <si>
    <t>Input</t>
    <phoneticPr fontId="5" type="noConversion"/>
  </si>
  <si>
    <t>Source</t>
  </si>
  <si>
    <t>Park TY 등(2015)</t>
  </si>
  <si>
    <t>Population</t>
    <phoneticPr fontId="5" type="noConversion"/>
  </si>
  <si>
    <t>Epidemiology</t>
    <phoneticPr fontId="5" type="noConversion"/>
  </si>
  <si>
    <t>1. Population inputs</t>
    <phoneticPr fontId="5" type="noConversion"/>
  </si>
  <si>
    <t>% Annual growth rate of Q85.8(달리 분류되지 않는 모반증) incident case</t>
    <phoneticPr fontId="5" type="noConversion"/>
  </si>
  <si>
    <t>보건의료빅데이터개방시스템</t>
    <phoneticPr fontId="5" type="noConversion"/>
  </si>
  <si>
    <t>% proportion of VHL in Q85.8</t>
    <phoneticPr fontId="5" type="noConversion"/>
  </si>
  <si>
    <t xml:space="preserve">* Yoon SJ 등 (2022) 은  국내 VHL 환자를 분석한 국내 자료원으로서, 이를 기반으로 기본 분석을 시행하였습니다. 다만, 국내가 아닌 글로벌 데이터에 따른 종양 발병률에 대해서도 참고자료원으로서 drop-down으로 함께 제출합니다. (노란색 셀에 drop down 옵션 있음) </t>
    <phoneticPr fontId="5" type="noConversion"/>
  </si>
  <si>
    <t>Yoon SJ 등(2022)</t>
    <phoneticPr fontId="5" type="noConversion"/>
  </si>
  <si>
    <t xml:space="preserve">% prevalence VHL-RCC patients </t>
    <phoneticPr fontId="5" type="noConversion"/>
  </si>
  <si>
    <t>Yoon SJ 등(2022)</t>
  </si>
  <si>
    <t xml:space="preserve">% prevalence VHL-CNS HB patients </t>
    <phoneticPr fontId="5" type="noConversion"/>
  </si>
  <si>
    <t xml:space="preserve">% Incidence VHL-pNET patients </t>
    <phoneticPr fontId="5" type="noConversion"/>
  </si>
  <si>
    <t>5. 중복 환자 제외: VHL-associated RCC, CNS, and/or pNET</t>
  </si>
  <si>
    <t>% unique patients in the VHL-associated RCC, CNS, and/or pNET target populations</t>
    <phoneticPr fontId="5" type="noConversion"/>
  </si>
  <si>
    <t>% 1- treatment discontinuation/yr</t>
  </si>
  <si>
    <t>Jonasch et al, 2021</t>
  </si>
  <si>
    <t>1. 신규 대상 환자수</t>
  </si>
  <si>
    <t>웰리렉정은 대상 적응증에 승인된 최초의 약제이므로 그간 치료제가 없어 누적되었던 환자가 일시적으로 급여 1차년도에 한번에 신규 유입된다고 가정하였다.</t>
  </si>
  <si>
    <t>Parameters</t>
    <phoneticPr fontId="5" type="noConversion"/>
  </si>
  <si>
    <t>당해년도 신규</t>
  </si>
  <si>
    <t>전년도 누적</t>
  </si>
  <si>
    <t>1) 신규 성인 VHL 환자수</t>
  </si>
  <si>
    <t>VHL - RCC</t>
    <phoneticPr fontId="5" type="noConversion"/>
  </si>
  <si>
    <t xml:space="preserve">2) VHL-RCC인 환자 </t>
  </si>
  <si>
    <t>VHL- CNS Hb</t>
    <phoneticPr fontId="5" type="noConversion"/>
  </si>
  <si>
    <t>VHL-pNET</t>
    <phoneticPr fontId="5" type="noConversion"/>
  </si>
  <si>
    <t>2. 전년도 누적 환자수</t>
  </si>
  <si>
    <t xml:space="preserve">웰리렉정은 허용할 수 없는 독성 또는 질병의 진행이 나타날때까지 투여 함. </t>
  </si>
  <si>
    <t xml:space="preserve">2. VHL 환자 중 RCC환자 비율 </t>
  </si>
  <si>
    <t>3. VHL 환자 중 CNS Hb 환자 비율</t>
  </si>
  <si>
    <t xml:space="preserve">4. VHL 환자 중 pNET 환자 비율 </t>
  </si>
  <si>
    <t>Treatment cost</t>
    <phoneticPr fontId="5" type="noConversion"/>
  </si>
  <si>
    <t xml:space="preserve">Cost </t>
    <phoneticPr fontId="5" type="noConversion"/>
  </si>
  <si>
    <t>Belzutifan</t>
    <phoneticPr fontId="5" type="noConversion"/>
  </si>
  <si>
    <t>실제가</t>
  </si>
  <si>
    <t>Treatment duration</t>
    <phoneticPr fontId="5" type="noConversion"/>
  </si>
  <si>
    <t>1. Treatment duration</t>
    <phoneticPr fontId="5" type="noConversion"/>
  </si>
  <si>
    <t>치료법</t>
    <phoneticPr fontId="5" type="noConversion"/>
  </si>
  <si>
    <t>평균 치료 기간(단위:월)</t>
    <phoneticPr fontId="5" type="noConversion"/>
  </si>
  <si>
    <t>1차년도</t>
    <phoneticPr fontId="5" type="noConversion"/>
  </si>
  <si>
    <t>2차년도</t>
    <phoneticPr fontId="5" type="noConversion"/>
  </si>
  <si>
    <t>3차년도</t>
    <phoneticPr fontId="5" type="noConversion"/>
  </si>
  <si>
    <t>Active surveillance</t>
    <phoneticPr fontId="5" type="noConversion"/>
  </si>
  <si>
    <t xml:space="preserve">*Belzutifan은 약물로 인한 이상 반응 및 견딜 수 없는 독성이 일어나기 전까지 투여 가능하다. </t>
    <phoneticPr fontId="5" type="noConversion"/>
  </si>
  <si>
    <t>Treatment acquistion cost</t>
    <phoneticPr fontId="5" type="noConversion"/>
  </si>
  <si>
    <t>1. Monthly drug cost</t>
    <phoneticPr fontId="5" type="noConversion"/>
  </si>
  <si>
    <t>의약품</t>
    <phoneticPr fontId="5" type="noConversion"/>
  </si>
  <si>
    <t>단위용량</t>
    <phoneticPr fontId="5" type="noConversion"/>
  </si>
  <si>
    <t>단위비용</t>
    <phoneticPr fontId="5" type="noConversion"/>
  </si>
  <si>
    <t>1일 투여용량</t>
    <phoneticPr fontId="5" type="noConversion"/>
  </si>
  <si>
    <t>1일 투여량(tablets)</t>
    <phoneticPr fontId="5" type="noConversion"/>
  </si>
  <si>
    <t>1일 의약품비(원/일)</t>
    <phoneticPr fontId="5" type="noConversion"/>
  </si>
  <si>
    <t>월별 의약품비(원/월)</t>
    <phoneticPr fontId="5" type="noConversion"/>
  </si>
  <si>
    <t>Belzutifan</t>
    <phoneticPr fontId="24" type="noConversion"/>
  </si>
  <si>
    <t>40mg tablet</t>
    <phoneticPr fontId="5" type="noConversion"/>
  </si>
  <si>
    <t>120mg</t>
    <phoneticPr fontId="5" type="noConversion"/>
  </si>
  <si>
    <t>active surveillance</t>
    <phoneticPr fontId="24" type="noConversion"/>
  </si>
  <si>
    <t>n/a</t>
    <phoneticPr fontId="5" type="noConversion"/>
  </si>
  <si>
    <t>2. Yearly drug cost</t>
  </si>
  <si>
    <t>연도별 예상되는 평균 치료 기간(mean DoT), 단위: 년</t>
    <phoneticPr fontId="5" type="noConversion"/>
  </si>
  <si>
    <t>Source</t>
    <phoneticPr fontId="5" type="noConversion"/>
  </si>
  <si>
    <t>Jonash 등(2021)</t>
    <phoneticPr fontId="5" type="noConversion"/>
  </si>
  <si>
    <t>active surveillance 정의</t>
    <phoneticPr fontId="5" type="noConversion"/>
  </si>
  <si>
    <t>Biomarker test cost</t>
    <phoneticPr fontId="5" type="noConversion"/>
  </si>
  <si>
    <t>검사항목</t>
    <phoneticPr fontId="5" type="noConversion"/>
  </si>
  <si>
    <t>수가코드</t>
    <phoneticPr fontId="5" type="noConversion"/>
  </si>
  <si>
    <t>의료기관</t>
    <phoneticPr fontId="5" type="noConversion"/>
  </si>
  <si>
    <r>
      <t>단가</t>
    </r>
    <r>
      <rPr>
        <b/>
        <vertAlign val="superscript"/>
        <sz val="11"/>
        <color theme="0"/>
        <rFont val="Calibri"/>
        <family val="3"/>
        <charset val="129"/>
        <scheme val="minor"/>
      </rPr>
      <t>1)</t>
    </r>
    <phoneticPr fontId="5" type="noConversion"/>
  </si>
  <si>
    <r>
      <t>종별가산율적용(원)</t>
    </r>
    <r>
      <rPr>
        <b/>
        <vertAlign val="superscript"/>
        <sz val="11"/>
        <color theme="0"/>
        <rFont val="Calibri"/>
        <family val="3"/>
        <charset val="129"/>
        <scheme val="minor"/>
      </rPr>
      <t>2)</t>
    </r>
    <phoneticPr fontId="5" type="noConversion"/>
  </si>
  <si>
    <r>
      <t>방문비율적용(원)</t>
    </r>
    <r>
      <rPr>
        <b/>
        <vertAlign val="superscript"/>
        <sz val="11"/>
        <color theme="0"/>
        <rFont val="Calibri"/>
        <family val="3"/>
        <charset val="129"/>
        <scheme val="minor"/>
      </rPr>
      <t>3)</t>
    </r>
    <phoneticPr fontId="5" type="noConversion"/>
  </si>
  <si>
    <t>VHL gene</t>
    <phoneticPr fontId="8" type="noConversion"/>
  </si>
  <si>
    <t>C5806146</t>
    <phoneticPr fontId="5" type="noConversion"/>
  </si>
  <si>
    <t>상급종합병원</t>
    <phoneticPr fontId="8" type="noConversion"/>
  </si>
  <si>
    <t>종합병원</t>
    <phoneticPr fontId="8" type="noConversion"/>
  </si>
  <si>
    <t>1) 2023.01.01. 기준 의·치과한방 등 수가파일, 건강보험심사평가원
2) 2023년 2월판 건강보험요양급여비용, 건강보험심사평가원: 종별가산율 상급종합병원 30%, 종합병원 25%
3) 질병 소분류(Q85.8) 요양기관 종별현황, 보건의료빅데이터 개방시스템: 종별방문비율 상급종합병원 84%, 종합병원 16%</t>
    <phoneticPr fontId="24" type="noConversion"/>
  </si>
  <si>
    <t>Cost_drug</t>
    <phoneticPr fontId="5" type="noConversion"/>
  </si>
  <si>
    <t>Costs</t>
    <phoneticPr fontId="25" type="noConversion"/>
  </si>
  <si>
    <t>▶Belzutifan/정</t>
    <phoneticPr fontId="25" type="noConversion"/>
  </si>
  <si>
    <t>표시가</t>
  </si>
  <si>
    <t>환급률</t>
  </si>
  <si>
    <t>A8 adjusted price</t>
    <phoneticPr fontId="5" type="noConversion"/>
  </si>
  <si>
    <t>평균환율</t>
  </si>
  <si>
    <t>국가</t>
    <phoneticPr fontId="5" type="noConversion"/>
  </si>
  <si>
    <t>환율 Index</t>
  </si>
  <si>
    <t>용량</t>
    <phoneticPr fontId="54" type="noConversion"/>
  </si>
  <si>
    <t>List price/package(90T)</t>
    <phoneticPr fontId="5" type="noConversion"/>
  </si>
  <si>
    <t>List price/tablet</t>
    <phoneticPr fontId="5" type="noConversion"/>
  </si>
  <si>
    <t>국가 공장도 출하 비율</t>
  </si>
  <si>
    <t>부가가치세율</t>
  </si>
  <si>
    <t>유통거래폭</t>
  </si>
  <si>
    <t>A8 adjusted price(KRW)</t>
    <phoneticPr fontId="5" type="noConversion"/>
  </si>
  <si>
    <t>Local currency</t>
    <phoneticPr fontId="5" type="noConversion"/>
  </si>
  <si>
    <t>KRW</t>
  </si>
  <si>
    <t>2025.3월 기준</t>
  </si>
  <si>
    <t>UK (￡)</t>
  </si>
  <si>
    <t>영국 GBP</t>
  </si>
  <si>
    <t>40mg</t>
    <phoneticPr fontId="54" type="noConversion"/>
  </si>
  <si>
    <t>USA ($)</t>
  </si>
  <si>
    <t>미국 USD</t>
  </si>
  <si>
    <t>Canada(CAD$)</t>
    <phoneticPr fontId="55" type="noConversion"/>
  </si>
  <si>
    <t>캐나다 CAD</t>
  </si>
  <si>
    <t>Japan (￥)</t>
  </si>
  <si>
    <t>일본 JPY</t>
  </si>
  <si>
    <r>
      <t>France (</t>
    </r>
    <r>
      <rPr>
        <sz val="10"/>
        <rFont val="Calibri"/>
        <family val="2"/>
        <scheme val="minor"/>
      </rPr>
      <t>€</t>
    </r>
    <r>
      <rPr>
        <sz val="10"/>
        <rFont val="Calibri"/>
        <family val="3"/>
        <charset val="129"/>
        <scheme val="minor"/>
      </rPr>
      <t>)</t>
    </r>
  </si>
  <si>
    <t>유로 EUR</t>
  </si>
  <si>
    <r>
      <t>Germany (</t>
    </r>
    <r>
      <rPr>
        <sz val="10"/>
        <rFont val="Calibri"/>
        <family val="2"/>
        <scheme val="minor"/>
      </rPr>
      <t>€</t>
    </r>
    <r>
      <rPr>
        <sz val="10"/>
        <rFont val="Calibri"/>
        <family val="3"/>
        <charset val="129"/>
        <scheme val="minor"/>
      </rPr>
      <t>)</t>
    </r>
    <phoneticPr fontId="54" type="noConversion"/>
  </si>
  <si>
    <r>
      <t>Italy (</t>
    </r>
    <r>
      <rPr>
        <sz val="10"/>
        <rFont val="Calibri"/>
        <family val="2"/>
        <scheme val="minor"/>
      </rPr>
      <t>€</t>
    </r>
    <r>
      <rPr>
        <sz val="10"/>
        <rFont val="Calibri"/>
        <family val="3"/>
        <charset val="129"/>
        <scheme val="minor"/>
      </rPr>
      <t>)</t>
    </r>
  </si>
  <si>
    <t>switzerland (℉)</t>
  </si>
  <si>
    <t>스위스 CHF</t>
  </si>
  <si>
    <t>A8 조정 최저가</t>
    <phoneticPr fontId="5" type="noConversion"/>
  </si>
  <si>
    <t>KRW</t>
    <phoneticPr fontId="5" type="noConversion"/>
  </si>
  <si>
    <t xml:space="preserve"> </t>
  </si>
  <si>
    <t>list price/tablet</t>
    <phoneticPr fontId="54" type="noConversion"/>
  </si>
  <si>
    <t>Summary</t>
    <phoneticPr fontId="5" type="noConversion"/>
  </si>
  <si>
    <r>
      <t>1. 시장점유율에 따른 예상사용량</t>
    </r>
    <r>
      <rPr>
        <b/>
        <sz val="11"/>
        <color rgb="FF2F4C59"/>
        <rFont val="Arial Rounded MT Bold"/>
        <family val="2"/>
      </rPr>
      <t/>
    </r>
    <phoneticPr fontId="5" type="noConversion"/>
  </si>
  <si>
    <t>Base scenario</t>
  </si>
  <si>
    <t>Base scneario</t>
  </si>
  <si>
    <t>당해연도 시장점유율</t>
  </si>
  <si>
    <t>구분</t>
  </si>
  <si>
    <t>belzutifan</t>
    <phoneticPr fontId="5" type="noConversion"/>
  </si>
  <si>
    <t>전년도 누적 시장점유율</t>
  </si>
  <si>
    <t xml:space="preserve">전년도 belzutifan 치료 지속 누적 환자 </t>
  </si>
  <si>
    <t>예상 사용량</t>
  </si>
  <si>
    <t>구분</t>
    <phoneticPr fontId="5" type="noConversion"/>
  </si>
  <si>
    <t>예상 사용량(tablets/년)</t>
    <phoneticPr fontId="5" type="noConversion"/>
  </si>
  <si>
    <t>신청약제의 예상사용량</t>
    <phoneticPr fontId="5" type="noConversion"/>
  </si>
  <si>
    <t>1. 신청약제의 예상 점유율</t>
    <phoneticPr fontId="5" type="noConversion"/>
  </si>
  <si>
    <t>당해연도 신규</t>
  </si>
  <si>
    <t>예상 환자수(명)</t>
    <phoneticPr fontId="5" type="noConversion"/>
  </si>
  <si>
    <t>시장점유율</t>
  </si>
  <si>
    <t>환자수</t>
  </si>
  <si>
    <t>신청약제
도입이전</t>
    <phoneticPr fontId="5" type="noConversion"/>
  </si>
  <si>
    <t>신청약제
도입이후</t>
    <phoneticPr fontId="5" type="noConversion"/>
  </si>
  <si>
    <t>2. 신청약제의 예상 사용량</t>
    <phoneticPr fontId="5" type="noConversion"/>
  </si>
  <si>
    <t xml:space="preserve">신청약제 투여 
예상 환자수(명) </t>
    <phoneticPr fontId="5" type="noConversion"/>
  </si>
  <si>
    <t>1회당 투여량(tablets)</t>
    <phoneticPr fontId="5" type="noConversion"/>
  </si>
  <si>
    <t>연간 투약일</t>
    <phoneticPr fontId="5" type="noConversion"/>
  </si>
  <si>
    <t>치료기간동안 투여량
(tablets/치료기간)</t>
    <phoneticPr fontId="5" type="noConversion"/>
  </si>
  <si>
    <t>신청약제 도입시 연간추정 요양급여비용</t>
    <phoneticPr fontId="5" type="noConversion"/>
  </si>
  <si>
    <t>의약품비</t>
    <phoneticPr fontId="5" type="noConversion"/>
  </si>
  <si>
    <t>재정영향검토</t>
    <phoneticPr fontId="5" type="noConversion"/>
  </si>
  <si>
    <t>신청약제 도입 이후 총 치료비용(=의약품비)로 인한 재정영향</t>
    <phoneticPr fontId="5" type="noConversion"/>
  </si>
  <si>
    <t>1인당</t>
    <phoneticPr fontId="5" type="noConversion"/>
  </si>
  <si>
    <t>신청약제 도입이전(원)</t>
    <phoneticPr fontId="5" type="noConversion"/>
  </si>
  <si>
    <t>신청약제 도입이후(원)</t>
    <phoneticPr fontId="5" type="noConversion"/>
  </si>
  <si>
    <t>차이(원)</t>
    <phoneticPr fontId="5" type="noConversion"/>
  </si>
  <si>
    <t>환자 수 반영</t>
    <phoneticPr fontId="5" type="noConversion"/>
  </si>
  <si>
    <t>2. 신청약제 도입 이후 총 치료비용으로 인한 재정영향(전체 약제)</t>
    <phoneticPr fontId="5" type="noConversion"/>
  </si>
  <si>
    <t>2024년(1차년도)</t>
    <phoneticPr fontId="5" type="noConversion"/>
  </si>
  <si>
    <t>2025년(2차년도)</t>
    <phoneticPr fontId="5" type="noConversion"/>
  </si>
  <si>
    <t>2026년(3차년도)</t>
    <phoneticPr fontId="5" type="noConversion"/>
  </si>
  <si>
    <t xml:space="preserve">신규 </t>
    <phoneticPr fontId="5" type="noConversion"/>
  </si>
  <si>
    <t>누적</t>
    <phoneticPr fontId="5" type="noConversion"/>
  </si>
  <si>
    <t xml:space="preserve">Source: 보건의료빅데이터개방시스템
</t>
    <phoneticPr fontId="5" type="noConversion"/>
  </si>
  <si>
    <t>Source: Binderup M L 등,2013</t>
  </si>
  <si>
    <t>VHL 증후군 징후에 따른 발생 빈도</t>
  </si>
  <si>
    <t>평균환율조회</t>
    <phoneticPr fontId="5" type="noConversion"/>
  </si>
  <si>
    <t>Combined population</t>
    <phoneticPr fontId="5" type="noConversion"/>
  </si>
  <si>
    <t/>
  </si>
  <si>
    <t>심사년도</t>
  </si>
  <si>
    <t>2018년</t>
  </si>
  <si>
    <t>2019년</t>
  </si>
  <si>
    <t>2020년</t>
  </si>
  <si>
    <t>2021년</t>
  </si>
  <si>
    <t>2022년</t>
  </si>
  <si>
    <t>2023년</t>
  </si>
  <si>
    <t>2024년</t>
  </si>
  <si>
    <t>징후</t>
  </si>
  <si>
    <t>VHL환자의 대략적인 발생 빈도,%</t>
  </si>
  <si>
    <t>VHL환자의 대략적인 발생 빈도,%범위</t>
  </si>
  <si>
    <t>통화</t>
  </si>
  <si>
    <t>매매기준율</t>
  </si>
  <si>
    <t>RCC</t>
  </si>
  <si>
    <t>항목</t>
  </si>
  <si>
    <t>성별구분</t>
  </si>
  <si>
    <t>연령구분5세</t>
  </si>
  <si>
    <t>신세포암(RCC)</t>
  </si>
  <si>
    <t>(5,86)</t>
  </si>
  <si>
    <t>Q858</t>
  </si>
  <si>
    <t>계</t>
  </si>
  <si>
    <t>중추신경계 혈관모세포종(CNS Hb)</t>
  </si>
  <si>
    <t>소뇌 혈관모세포종</t>
  </si>
  <si>
    <t>(35,79)</t>
  </si>
  <si>
    <t>척수 혈관모세포종</t>
  </si>
  <si>
    <t>(7,53)</t>
  </si>
  <si>
    <t>중국 CNY</t>
  </si>
  <si>
    <t>뇌간 혈관모세포종</t>
  </si>
  <si>
    <t>(4,22)</t>
  </si>
  <si>
    <t>대뇌 혈관모세포종</t>
  </si>
  <si>
    <t>(1,7)</t>
  </si>
  <si>
    <t>췌장 신경 내분비종양(pNET)</t>
  </si>
  <si>
    <t>(1,17)</t>
  </si>
  <si>
    <t xml:space="preserve">Source: LITESPARK-004, Jonasch et al, 2021
</t>
  </si>
  <si>
    <t>치료 중단 비율</t>
  </si>
  <si>
    <t>홍콩 HKD</t>
  </si>
  <si>
    <t>스웨덴 SEK</t>
  </si>
  <si>
    <t>호주 AUD</t>
  </si>
  <si>
    <t>덴마크 DKK</t>
  </si>
  <si>
    <t>노르웨이 NOK</t>
  </si>
  <si>
    <t>사우디아라비아 SAR</t>
  </si>
  <si>
    <t>쿠웨이트 KWD</t>
  </si>
  <si>
    <t>바레인 BHD</t>
  </si>
  <si>
    <t>아랍에미리트공화국 AED</t>
  </si>
  <si>
    <t>싱가포르 SGD</t>
  </si>
  <si>
    <t>말레이시아 MYR</t>
  </si>
  <si>
    <t>뉴질랜드 NZD</t>
  </si>
  <si>
    <t>태국 THB</t>
  </si>
  <si>
    <t>인도네시아 IDR</t>
  </si>
  <si>
    <t>인도 INR</t>
  </si>
  <si>
    <t>남아공화국 ZAR</t>
  </si>
  <si>
    <t>러시아 RUB</t>
  </si>
  <si>
    <t>대만 TWD</t>
  </si>
  <si>
    <t>베트남 VND</t>
  </si>
  <si>
    <t>필리핀 PHP</t>
  </si>
  <si>
    <t>멕시코 MXN</t>
  </si>
  <si>
    <t>브라질 BRL</t>
  </si>
  <si>
    <t>카타르 QAR</t>
  </si>
  <si>
    <t>오만 OMR</t>
  </si>
  <si>
    <t>헝가리 HUF</t>
  </si>
  <si>
    <t>폴란드 PLN</t>
  </si>
  <si>
    <t>튀르키예 TRY</t>
  </si>
  <si>
    <t>카자흐스탄 KZT</t>
  </si>
  <si>
    <t>체코 CZK</t>
  </si>
  <si>
    <t>파키스탄 PKR</t>
  </si>
  <si>
    <t>방글라데시 BDT</t>
  </si>
  <si>
    <t>이집트 EGP</t>
  </si>
  <si>
    <t>브루나이 BND</t>
  </si>
  <si>
    <t>이스라엘 ILS</t>
  </si>
  <si>
    <t>요르단 JOD</t>
  </si>
  <si>
    <t>몽골 MNT</t>
  </si>
  <si>
    <t>알제리 DZD</t>
  </si>
  <si>
    <t>스리랑카 LKR</t>
  </si>
  <si>
    <t>칠레 CLP</t>
  </si>
  <si>
    <t>케냐 KES</t>
  </si>
  <si>
    <t>탄자니아 TZS</t>
  </si>
  <si>
    <t>콜롬비아 COP</t>
  </si>
  <si>
    <t>네팔 NPR</t>
  </si>
  <si>
    <t>마카오 MOP</t>
  </si>
  <si>
    <t>캄보디아 KHR</t>
  </si>
  <si>
    <t>피지 FJD</t>
  </si>
  <si>
    <t>리비아 LYD</t>
  </si>
  <si>
    <t>루마니아 RON</t>
  </si>
  <si>
    <t>미얀마 MMK</t>
  </si>
  <si>
    <t>에티오피아 ETB</t>
  </si>
  <si>
    <t>우즈베키스탄 UZS</t>
  </si>
  <si>
    <t>10) Total target population( 9) + 10) )
: 수술이 적합하지 않거나 불가능한</t>
  </si>
  <si>
    <t>전년도 진단환자</t>
  </si>
  <si>
    <t xml:space="preserve">4. 적응증 대상 환자수(당해연도 신규+ 전년도 누적) </t>
  </si>
  <si>
    <t>3. 적응증 대상 환자수(당해년도 신규)</t>
  </si>
  <si>
    <t>Active Survailunce</t>
  </si>
  <si>
    <t>NICE Assessment</t>
  </si>
  <si>
    <t>LS-004</t>
  </si>
  <si>
    <t xml:space="preserve">3) VHL-CNS Hb인 환자 </t>
  </si>
  <si>
    <t xml:space="preserve">4) VHL-pNET인 환자 </t>
  </si>
  <si>
    <t>5) RCC, CNS Hb, pNET 환자수</t>
  </si>
  <si>
    <t>7) 수술이 적합하지 않거나 불가능한 환자</t>
  </si>
  <si>
    <t>8) 전년도 치료 누적 환자수</t>
  </si>
  <si>
    <t>9) 당해년도 신규 + 전년도 진단 환자 중 재발</t>
  </si>
  <si>
    <t xml:space="preserve">연간 재발 Risk 2%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</si>
  <si>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</si>
  <si>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</t>
  </si>
  <si>
    <t>2027년(1차년도)</t>
  </si>
  <si>
    <t>2028년(2차년도)</t>
  </si>
  <si>
    <t>2029년(3차년도)</t>
  </si>
  <si>
    <t>Sundaram, M., et al. (2025)</t>
  </si>
  <si>
    <t>1년차</t>
  </si>
  <si>
    <t>2년차</t>
  </si>
  <si>
    <t>1. 2021-2024년 Q85.8* 환자수</t>
  </si>
  <si>
    <t>Q85.8 환자수(명)</t>
  </si>
  <si>
    <t>성인 VHL 환자수(명)</t>
  </si>
  <si>
    <t>▶ VHL병 성인 예상 환자수를 추정함</t>
  </si>
  <si>
    <t>3개년 CAGR(연평균 증가율)</t>
  </si>
  <si>
    <t>6) 중복제외 된 RCC, CNS Hb, pNET 환자수</t>
  </si>
  <si>
    <t>*전년도 진단 환자 중 종양 성장으로 수술 필요 환자</t>
  </si>
  <si>
    <t>VHL-RCC</t>
  </si>
  <si>
    <t>VHL-CNS Hb</t>
  </si>
  <si>
    <t>VHL-pNET</t>
  </si>
  <si>
    <t>1년 재수술 위험</t>
  </si>
  <si>
    <t>5년 누적 재수술 위험</t>
  </si>
  <si>
    <t>10년 누적 재수술 위험</t>
  </si>
  <si>
    <t>질환유병비율</t>
  </si>
  <si>
    <t>1Y Risk</t>
  </si>
  <si>
    <t>2Y Risk</t>
  </si>
  <si>
    <t>3Y Risk</t>
  </si>
  <si>
    <t>4Y Risk</t>
  </si>
  <si>
    <t>5Y Risk</t>
  </si>
  <si>
    <t>6Y Risk</t>
  </si>
  <si>
    <t>7Y Risk</t>
  </si>
  <si>
    <t>8Y Risk</t>
  </si>
  <si>
    <t>유병률 가중조정</t>
  </si>
  <si>
    <t>Source: Garrido 2024, Jilg et al., de Mestier et al.</t>
  </si>
  <si>
    <t>재수술 비율</t>
  </si>
  <si>
    <t>A8 조정 평균가</t>
  </si>
  <si>
    <t>기준일 : 2023-02-28 ~ 2025-02-28 고시회차 : 최종 [조회시각 : 2026-03-18 22:44:55]</t>
  </si>
  <si>
    <t>Updated on 2026-03-18</t>
  </si>
  <si>
    <t>Model Flowchart(당해연도 신규 환자)</t>
  </si>
  <si>
    <t>Adult Q85.8 population</t>
  </si>
  <si>
    <t>Adult patients with VHL disease</t>
    <phoneticPr fontId="5" type="noConversion"/>
  </si>
  <si>
    <t>VHL-associated RCC</t>
    <phoneticPr fontId="5" type="noConversion"/>
  </si>
  <si>
    <t>VHL-associated CNS-Hb</t>
    <phoneticPr fontId="5" type="noConversion"/>
  </si>
  <si>
    <t>VHL-associated pNET</t>
    <phoneticPr fontId="5" type="noConversion"/>
  </si>
  <si>
    <t>Unsuitable or Inoperable</t>
  </si>
  <si>
    <t>Total (VHL-RCC) AND (VHL-CNS Hb) AND (VHL-pNET)</t>
    <phoneticPr fontId="5" type="noConversion"/>
  </si>
  <si>
    <t xml:space="preserve">Substract Overlapping </t>
    <phoneticPr fontId="5" type="noConversion"/>
  </si>
  <si>
    <t>Model Flowchart(전체)</t>
  </si>
  <si>
    <t>전년도 유병 환자</t>
  </si>
  <si>
    <t>당해연도 신규 환자</t>
  </si>
  <si>
    <t>전년도 누적(치료 지속)</t>
  </si>
  <si>
    <t>당해연도 전체 대상 환자</t>
  </si>
  <si>
    <t>재발로 수술 필요 환자</t>
  </si>
  <si>
    <t>치료 중단</t>
  </si>
  <si>
    <t>7. 치료 지속 비율</t>
  </si>
  <si>
    <t>당해연도 신규 환자
:adult patients with VHL associated RCC/ CNS-Hb and/or pNET, whom surgery is unsuitable or inoperable</t>
  </si>
  <si>
    <t>'4단질병_성별연령5세구간별현황(단위_명, 일, 건, 천원)_2018_2024</t>
  </si>
  <si>
    <t>구간</t>
  </si>
  <si>
    <t>환자 수</t>
  </si>
  <si>
    <t>비율</t>
  </si>
  <si>
    <t>RCC + pNET + CNS Hb</t>
  </si>
  <si>
    <t>RCC + CNS Hb only</t>
  </si>
  <si>
    <t>CNS Hb only</t>
  </si>
  <si>
    <t>pNET + CNS Hb only</t>
  </si>
  <si>
    <t>RCC only</t>
  </si>
  <si>
    <t>RCC + pNET only</t>
  </si>
  <si>
    <t>pNET only</t>
  </si>
  <si>
    <t>Source: Sundaram, M., et al. 2025</t>
  </si>
  <si>
    <t>CNS Hb</t>
  </si>
  <si>
    <t>pNET</t>
  </si>
  <si>
    <t>질환</t>
  </si>
  <si>
    <t>RCC+CNS Hb</t>
  </si>
  <si>
    <t>RCC+pNET</t>
  </si>
  <si>
    <t>CNS Hb+pNET</t>
  </si>
  <si>
    <t>문헌 상호베타 분포 (220명)</t>
  </si>
  <si>
    <t>상호베타 값을 그룹별 재환산</t>
  </si>
  <si>
    <t>그룹</t>
  </si>
  <si>
    <t>*그룹 1-2+3 이 중복을 제거한 환자수</t>
  </si>
  <si>
    <t>*2와 3은 각 질환을 중복으로 가지고 있는 환자 그룹</t>
  </si>
  <si>
    <t>2의 비율</t>
  </si>
  <si>
    <t>3의 비율</t>
  </si>
  <si>
    <t>*질환별 유병환자수(그룹1) - 그룹1x68.78% + 그룹1(16.81%) = 중복을 제거한 환자수</t>
  </si>
  <si>
    <t>Source: Yoon SJ., et al.2 022</t>
  </si>
  <si>
    <t>Total Patients</t>
  </si>
  <si>
    <t>Frequency in patients</t>
  </si>
  <si>
    <t>2그룹 추계값 (RCC+CNS Hb / RCC+pNET / CNS Hb + pNET)</t>
  </si>
  <si>
    <t>3그룹 추계값 (RCC+CNS Hb + pNET)</t>
  </si>
  <si>
    <t>중복제거 환자수</t>
  </si>
  <si>
    <t>중복제거 환자비율</t>
  </si>
  <si>
    <t>6. 수술이 불가능하거나 적합하지 않은 환자 비율</t>
  </si>
  <si>
    <t>Active surveillance</t>
  </si>
  <si>
    <t>2. 2021-2024년 성인 VHL * 환자수</t>
  </si>
  <si>
    <t>폰히펠-린다우(von Hippel-Lindau, VHL)병 성인 환자에서 수술이 불가능하거나 수술이 적합하지 않은 신세포암, 중추신경계 혈관모세포종, 췌장 신경 내분비 종양의 치료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</si>
</sst>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64" formatCode="_(* #,##0_);_(* \(#,##0\);_(* &quot;-&quot;_);_(@_)"/>
    <numFmt numFmtId="165" formatCode="0.0%"/>
    <numFmt numFmtId="166" formatCode="&quot;₩&quot;#,##0_);[Red]\(&quot;₩&quot;#,##0\)"/>
    <numFmt numFmtId="167" formatCode="_-* #,##0_-;\-* #,##0_-;_-* &quot;-&quot;??_-;_-@_-"/>
    <numFmt numFmtId="168" formatCode="0_);[Red]\(0\)"/>
    <numFmt numFmtId="169" formatCode="0\ &quot;mg per vial&quot;"/>
    <numFmt numFmtId="170" formatCode="0\ &quot;mg/day&quot;"/>
    <numFmt numFmtId="171" formatCode="0\ &quot;&quot;"/>
    <numFmt numFmtId="172" formatCode="_-&quot;₩&quot;* #,##0_-;\-&quot;₩&quot;* #,##0_-;_-&quot;₩&quot;* &quot;-&quot;??_-;_-@_-"/>
    <numFmt numFmtId="173" formatCode="0.0\ &quot;weeks&quot;"/>
    <numFmt numFmtId="174" formatCode="#,##0_ "/>
    <numFmt numFmtId="175" formatCode="#,##0.0_);[Red]\(#,##0.0\)"/>
    <numFmt numFmtId="176" formatCode="_-* #,##0.00_-;\-* #,##0.00_-;_-* &quot;-&quot;_-;_-@_-"/>
    <numFmt numFmtId="177" formatCode="[$¥-411]#,##0.00;\-[$¥-411]#,##0.00"/>
    <numFmt numFmtId="178" formatCode="[$£-809]#,##0.00;\-[$£-809]#,##0.00"/>
    <numFmt numFmtId="179" formatCode="[$$-409]#,##0.00_ ;\-[$$-409]#,##0.00\ "/>
    <numFmt numFmtId="180" formatCode="###,##0.00"/>
    <numFmt numFmtId="181" formatCode="[$€-2]\ #,##0.00_);\([$€-2]\ #,##0.00\)"/>
    <numFmt numFmtId="182" formatCode="_(* #,##0.0_);_(* \(#,##0.0\);_(* &quot;-&quot;?_);_(@_)"/>
    <numFmt numFmtId="183" formatCode="_([$$-409]* #,##0.00_);_([$$-409]* \(#,##0.00\);_([$$-409]* &quot;-&quot;??_);_(@_)"/>
    <numFmt numFmtId="184" formatCode="General&quot;년(현재)&quot;"/>
    <numFmt numFmtId="185" formatCode="General&quot;년(1차년도)&quot;"/>
    <numFmt numFmtId="186" formatCode="General&quot;년(2차년도)&quot;"/>
    <numFmt numFmtId="187" formatCode="General&quot;년(3차년도)&quot;"/>
    <numFmt numFmtId="188" formatCode="_(* #,##0.00_);_(* \(#,##0.00\);_(* &quot;-&quot;??_);_(@_)"/>
    <numFmt numFmtId="189" formatCode="General\차\년\도"/>
    <numFmt numFmtId="190" formatCode="&quot;₩&quot;#,##0;[Red]&quot;₩&quot;#,##0"/>
  </numFmts>
  <fonts count="9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0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0"/>
      <color theme="1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Calibri Light"/>
      <family val="3"/>
      <charset val="129"/>
      <scheme val="major"/>
    </font>
    <font>
      <b/>
      <sz val="18"/>
      <color theme="3"/>
      <name val="Calibri Light"/>
      <family val="3"/>
      <charset val="129"/>
      <scheme val="major"/>
    </font>
    <font>
      <b/>
      <sz val="11"/>
      <color theme="3"/>
      <name val="Calibri Light"/>
      <family val="3"/>
      <charset val="129"/>
      <scheme val="major"/>
    </font>
    <font>
      <sz val="9"/>
      <color rgb="FF2F4C59"/>
      <name val="Arial Rounded MT Bold"/>
      <family val="2"/>
    </font>
    <font>
      <sz val="10"/>
      <color rgb="FF2F4C59"/>
      <name val="Calibri Light"/>
      <family val="3"/>
      <charset val="129"/>
      <scheme val="major"/>
    </font>
    <font>
      <sz val="9"/>
      <color rgb="FF2F4C59"/>
      <name val="Calibri Light"/>
      <family val="3"/>
      <charset val="129"/>
      <scheme val="major"/>
    </font>
    <font>
      <sz val="10"/>
      <name val="Calibri Light"/>
      <family val="3"/>
      <charset val="129"/>
      <scheme val="major"/>
    </font>
    <font>
      <sz val="9"/>
      <color theme="1"/>
      <name val="Calibri Light"/>
      <family val="3"/>
      <charset val="129"/>
      <scheme val="major"/>
    </font>
    <font>
      <sz val="10"/>
      <color theme="1"/>
      <name val="Calibri Light"/>
      <family val="3"/>
      <charset val="129"/>
      <scheme val="major"/>
    </font>
    <font>
      <b/>
      <sz val="9"/>
      <color theme="0"/>
      <name val="Arial Rounded MT Bold"/>
      <family val="2"/>
    </font>
    <font>
      <b/>
      <sz val="10"/>
      <color theme="0"/>
      <name val="Calibri Light"/>
      <family val="3"/>
      <charset val="129"/>
      <scheme val="major"/>
    </font>
    <font>
      <b/>
      <sz val="10"/>
      <color rgb="FF2F4C59"/>
      <name val="Calibri Light"/>
      <family val="3"/>
      <charset val="129"/>
      <scheme val="major"/>
    </font>
    <font>
      <b/>
      <sz val="10"/>
      <color theme="1"/>
      <name val="Calibri Light"/>
      <family val="3"/>
      <charset val="129"/>
      <scheme val="major"/>
    </font>
    <font>
      <sz val="8"/>
      <name val="맑은 고딕"/>
      <family val="3"/>
      <charset val="129"/>
    </font>
    <font>
      <sz val="8"/>
      <name val="Calibri"/>
      <family val="2"/>
      <scheme val="minor"/>
    </font>
    <font>
      <b/>
      <sz val="10"/>
      <color rgb="FF2F4C59"/>
      <name val="Arial Rounded MT Bold"/>
      <family val="2"/>
    </font>
    <font>
      <sz val="9"/>
      <color theme="1"/>
      <name val="Arial Rounded MT Bold"/>
      <family val="2"/>
    </font>
    <font>
      <sz val="14"/>
      <color theme="1"/>
      <name val="Calibri Light"/>
      <family val="3"/>
      <charset val="129"/>
      <scheme val="major"/>
    </font>
    <font>
      <b/>
      <sz val="10"/>
      <color theme="3"/>
      <name val="Calibri Light"/>
      <family val="3"/>
      <charset val="129"/>
      <scheme val="major"/>
    </font>
    <font>
      <b/>
      <sz val="11"/>
      <color rgb="FF2F4C59"/>
      <name val="Calibri Light"/>
      <family val="3"/>
      <charset val="129"/>
      <scheme val="major"/>
    </font>
    <font>
      <b/>
      <sz val="11"/>
      <color rgb="FF2F4C59"/>
      <name val="Arial Rounded MT Bold"/>
      <family val="2"/>
    </font>
    <font>
      <sz val="9"/>
      <name val="Calibri Light"/>
      <family val="3"/>
      <charset val="129"/>
      <scheme val="major"/>
    </font>
    <font>
      <b/>
      <sz val="10"/>
      <name val="Calibri Light"/>
      <family val="3"/>
      <charset val="129"/>
      <scheme val="major"/>
    </font>
    <font>
      <sz val="10"/>
      <color theme="0"/>
      <name val="Calibri Light"/>
      <family val="3"/>
      <charset val="129"/>
      <scheme val="maj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 Light"/>
      <family val="3"/>
      <charset val="129"/>
      <scheme val="major"/>
    </font>
    <font>
      <b/>
      <sz val="18"/>
      <color theme="1"/>
      <name val="Calibri Light"/>
      <family val="3"/>
      <charset val="129"/>
      <scheme val="major"/>
    </font>
    <font>
      <b/>
      <sz val="18"/>
      <color rgb="FF008080"/>
      <name val="Calibri Light"/>
      <family val="3"/>
      <charset val="129"/>
      <scheme val="major"/>
    </font>
    <font>
      <b/>
      <sz val="14"/>
      <color theme="1"/>
      <name val="Calibri"/>
      <family val="3"/>
      <charset val="129"/>
      <scheme val="minor"/>
    </font>
    <font>
      <b/>
      <sz val="10"/>
      <color theme="0"/>
      <name val="Calibri"/>
      <family val="3"/>
      <charset val="129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3"/>
      <charset val="129"/>
      <scheme val="minor"/>
    </font>
    <font>
      <b/>
      <sz val="16"/>
      <color rgb="FFFFFFFF"/>
      <name val="Calibri"/>
      <family val="3"/>
      <charset val="129"/>
      <scheme val="minor"/>
    </font>
    <font>
      <sz val="11"/>
      <color rgb="FFFFFFFF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color rgb="FF000000"/>
      <name val="Calibri"/>
      <family val="3"/>
      <charset val="129"/>
      <scheme val="minor"/>
    </font>
    <font>
      <sz val="10"/>
      <color theme="1"/>
      <name val="Yu Gothic"/>
      <family val="2"/>
      <charset val="129"/>
    </font>
    <font>
      <sz val="8"/>
      <name val="Yu Gothic"/>
      <family val="2"/>
      <charset val="129"/>
    </font>
    <font>
      <b/>
      <sz val="18"/>
      <color rgb="FF008080"/>
      <name val="Calibri"/>
      <family val="3"/>
      <charset val="129"/>
      <scheme val="minor"/>
    </font>
    <font>
      <b/>
      <sz val="16"/>
      <color theme="1"/>
      <name val="Calibri"/>
      <family val="3"/>
      <charset val="129"/>
      <scheme val="minor"/>
    </font>
    <font>
      <b/>
      <sz val="9"/>
      <color theme="1"/>
      <name val="Calibri"/>
      <family val="3"/>
      <charset val="129"/>
      <scheme val="minor"/>
    </font>
    <font>
      <sz val="10"/>
      <name val="Calibri"/>
      <family val="2"/>
      <scheme val="minor"/>
    </font>
    <font>
      <b/>
      <sz val="11"/>
      <color theme="3"/>
      <name val="Calibri"/>
      <family val="3"/>
      <charset val="129"/>
      <scheme val="minor"/>
    </font>
    <font>
      <b/>
      <sz val="11"/>
      <color rgb="FF2F4C59"/>
      <name val="Calibri"/>
      <family val="3"/>
      <charset val="129"/>
      <scheme val="minor"/>
    </font>
    <font>
      <i/>
      <sz val="11"/>
      <color rgb="FF00000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b/>
      <vertAlign val="superscript"/>
      <sz val="11"/>
      <color theme="0"/>
      <name val="Calibri"/>
      <family val="3"/>
      <charset val="129"/>
      <scheme val="minor"/>
    </font>
    <font>
      <sz val="10"/>
      <name val="Arial"/>
      <family val="2"/>
    </font>
    <font>
      <i/>
      <sz val="11"/>
      <color rgb="FFFF0000"/>
      <name val="Calibri Light"/>
      <family val="3"/>
      <charset val="129"/>
      <scheme val="major"/>
    </font>
    <font>
      <b/>
      <sz val="10"/>
      <color rgb="FFFF0000"/>
      <name val="Calibri Light"/>
      <family val="3"/>
      <charset val="129"/>
      <scheme val="major"/>
    </font>
    <font>
      <i/>
      <sz val="10"/>
      <color theme="0"/>
      <name val="Calibri Light"/>
      <family val="3"/>
      <charset val="129"/>
      <scheme val="major"/>
    </font>
    <font>
      <b/>
      <sz val="11"/>
      <color rgb="FF000000"/>
      <name val="Calibri"/>
      <family val="3"/>
      <charset val="129"/>
      <scheme val="minor"/>
    </font>
    <font>
      <sz val="8"/>
      <color rgb="FF0070C0"/>
      <name val="Calibri Light"/>
      <family val="3"/>
      <charset val="129"/>
      <scheme val="major"/>
    </font>
    <font>
      <b/>
      <sz val="8"/>
      <color theme="3"/>
      <name val="Calibri Light"/>
      <family val="3"/>
      <charset val="129"/>
      <scheme val="major"/>
    </font>
    <font>
      <sz val="8"/>
      <name val="Calibri Light"/>
      <family val="3"/>
      <charset val="129"/>
      <scheme val="major"/>
    </font>
    <font>
      <b/>
      <sz val="8"/>
      <color rgb="FF0070C0"/>
      <name val="Calibri"/>
      <family val="3"/>
      <charset val="129"/>
    </font>
    <font>
      <b/>
      <sz val="10"/>
      <name val="Arial"/>
      <family val="2"/>
    </font>
    <font>
      <b/>
      <sz val="9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9"/>
      <name val="Calibri Light"/>
      <family val="3"/>
      <charset val="129"/>
      <scheme val="major"/>
    </font>
    <font>
      <b/>
      <u/>
      <sz val="11"/>
      <color theme="3"/>
      <name val="Calibri Light"/>
      <family val="3"/>
      <charset val="129"/>
      <scheme val="major"/>
    </font>
    <font>
      <sz val="10"/>
      <name val="Arial"/>
      <family val="2"/>
    </font>
    <font>
      <b/>
      <sz val="10"/>
      <name val="Calibri"/>
      <family val="3"/>
      <charset val="129"/>
      <scheme val="minor"/>
    </font>
    <font>
      <b/>
      <sz val="10"/>
      <color rgb="FFFF0000"/>
      <name val="Calibri"/>
      <family val="3"/>
      <charset val="129"/>
      <scheme val="minor"/>
    </font>
    <font>
      <b/>
      <sz val="11"/>
      <name val="Arial"/>
      <family val="2"/>
    </font>
    <font>
      <b/>
      <sz val="8"/>
      <color theme="0"/>
      <name val="Calibri"/>
      <family val="3"/>
      <charset val="129"/>
      <scheme val="minor"/>
    </font>
    <font>
      <sz val="12"/>
      <color rgb="FF212529"/>
      <name val="Arial"/>
      <family val="2"/>
    </font>
    <font>
      <b/>
      <i/>
      <sz val="11"/>
      <color theme="1"/>
      <name val="Calibri Light"/>
      <family val="2"/>
      <scheme val="major"/>
    </font>
    <font>
      <i/>
      <sz val="10"/>
      <color theme="1"/>
      <name val="Calibri Light"/>
      <family val="3"/>
      <charset val="129"/>
      <scheme val="major"/>
    </font>
    <font>
      <b/>
      <sz val="8"/>
      <color rgb="FF2F4C59"/>
      <name val="Calibri Light"/>
      <family val="3"/>
      <charset val="129"/>
      <scheme val="major"/>
    </font>
    <font>
      <b/>
      <i/>
      <sz val="9"/>
      <color theme="1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charset val="129"/>
      <scheme val="minor"/>
    </font>
    <font>
      <sz val="8"/>
      <color theme="1"/>
      <name val="Calibri"/>
      <family val="2"/>
      <charset val="129"/>
      <scheme val="minor"/>
    </font>
    <font>
      <b/>
      <sz val="10"/>
      <name val="Arial"/>
    </font>
    <font>
      <b/>
      <sz val="11"/>
      <name val="Times New Roman"/>
      <family val="1"/>
    </font>
    <font>
      <sz val="9"/>
      <name val="Calibri"/>
      <family val="2"/>
      <charset val="129"/>
      <scheme val="minor"/>
    </font>
    <font>
      <b/>
      <i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7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darkDown">
        <bgColor theme="0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60497A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theme="8" tint="-0.499984740745262"/>
      </left>
      <right style="double">
        <color theme="8" tint="-0.499984740745262"/>
      </right>
      <top style="double">
        <color theme="8" tint="-0.499984740745262"/>
      </top>
      <bottom style="double">
        <color theme="8" tint="-0.499984740745262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uble">
        <color theme="4"/>
      </bottom>
      <diagonal/>
    </border>
    <border>
      <left/>
      <right/>
      <top/>
      <bottom style="thick">
        <color rgb="FF008080"/>
      </bottom>
      <diagonal/>
    </border>
    <border>
      <left/>
      <right/>
      <top style="double">
        <color rgb="FFFFC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9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4" borderId="0">
      <protection locked="0"/>
    </xf>
    <xf numFmtId="0" fontId="20" fillId="2" borderId="1">
      <alignment horizontal="center" vertical="center"/>
      <protection locked="0"/>
    </xf>
    <xf numFmtId="164" fontId="10" fillId="0" borderId="0" applyFont="0" applyFill="0" applyBorder="0" applyAlignment="0" applyProtection="0">
      <alignment vertical="center"/>
    </xf>
    <xf numFmtId="0" fontId="26" fillId="4" borderId="0">
      <protection locked="0"/>
    </xf>
    <xf numFmtId="10" fontId="27" fillId="3" borderId="24">
      <alignment horizontal="center"/>
      <protection locked="0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5" fillId="0" borderId="0" applyNumberFormat="0" applyFont="0" applyFill="0" applyBorder="0" applyAlignment="0" applyProtection="0"/>
    <xf numFmtId="168" fontId="32" fillId="0" borderId="1">
      <alignment vertical="center"/>
      <protection locked="0"/>
    </xf>
    <xf numFmtId="0" fontId="80" fillId="0" borderId="0" applyNumberFormat="0" applyFont="0" applyFill="0" applyBorder="0" applyAlignment="0" applyProtection="0"/>
    <xf numFmtId="9" fontId="1" fillId="0" borderId="0" applyFont="0" applyFill="0" applyBorder="0" applyAlignment="0" applyProtection="0"/>
    <xf numFmtId="188" fontId="1" fillId="0" borderId="0" applyFont="0" applyFill="0" applyBorder="0" applyAlignment="0" applyProtection="0"/>
  </cellStyleXfs>
  <cellXfs count="418">
    <xf numFmtId="0" fontId="0" fillId="0" borderId="0" xfId="0">
      <alignment vertical="center"/>
    </xf>
    <xf numFmtId="0" fontId="11" fillId="0" borderId="0" xfId="0" applyFont="1">
      <alignment vertical="center"/>
    </xf>
    <xf numFmtId="0" fontId="19" fillId="0" borderId="0" xfId="0" applyFont="1" applyAlignment="1"/>
    <xf numFmtId="0" fontId="19" fillId="0" borderId="0" xfId="0" applyFont="1">
      <alignment vertical="center"/>
    </xf>
    <xf numFmtId="0" fontId="28" fillId="3" borderId="0" xfId="0" applyFont="1" applyFill="1">
      <alignment vertical="center"/>
    </xf>
    <xf numFmtId="0" fontId="19" fillId="3" borderId="0" xfId="0" applyFont="1" applyFill="1">
      <alignment vertical="center"/>
    </xf>
    <xf numFmtId="0" fontId="19" fillId="3" borderId="0" xfId="0" applyFont="1" applyFill="1" applyProtection="1">
      <alignment vertical="center"/>
      <protection locked="0"/>
    </xf>
    <xf numFmtId="0" fontId="19" fillId="0" borderId="0" xfId="0" applyFont="1" applyAlignment="1">
      <alignment horizontal="center" vertical="center"/>
    </xf>
    <xf numFmtId="0" fontId="17" fillId="3" borderId="0" xfId="0" applyFont="1" applyFill="1">
      <alignment vertical="center"/>
    </xf>
    <xf numFmtId="10" fontId="19" fillId="3" borderId="0" xfId="0" applyNumberFormat="1" applyFont="1" applyFill="1">
      <alignment vertical="center"/>
    </xf>
    <xf numFmtId="1" fontId="19" fillId="3" borderId="0" xfId="0" applyNumberFormat="1" applyFont="1" applyFill="1">
      <alignment vertical="center"/>
    </xf>
    <xf numFmtId="0" fontId="11" fillId="0" borderId="0" xfId="0" applyFont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35" fillId="0" borderId="26" xfId="0" quotePrefix="1" applyFont="1" applyBorder="1" applyAlignment="1">
      <alignment horizontal="left" vertical="center"/>
    </xf>
    <xf numFmtId="0" fontId="36" fillId="5" borderId="0" xfId="0" applyFont="1" applyFill="1" applyAlignment="1">
      <alignment wrapText="1"/>
    </xf>
    <xf numFmtId="0" fontId="37" fillId="5" borderId="0" xfId="0" applyFont="1" applyFill="1" applyAlignment="1"/>
    <xf numFmtId="0" fontId="38" fillId="5" borderId="0" xfId="0" applyFont="1" applyFill="1" applyAlignment="1">
      <alignment horizontal="left" vertical="center"/>
    </xf>
    <xf numFmtId="0" fontId="12" fillId="0" borderId="0" xfId="3" applyFont="1" applyFill="1" applyAlignment="1" applyProtection="1">
      <alignment vertical="center"/>
      <protection locked="0"/>
    </xf>
    <xf numFmtId="0" fontId="13" fillId="0" borderId="21" xfId="3" applyFont="1" applyFill="1" applyBorder="1" applyAlignment="1" applyProtection="1">
      <alignment vertical="center"/>
      <protection locked="0"/>
    </xf>
    <xf numFmtId="0" fontId="12" fillId="0" borderId="21" xfId="3" applyFont="1" applyFill="1" applyBorder="1" applyAlignment="1" applyProtection="1">
      <alignment vertical="center"/>
      <protection locked="0"/>
    </xf>
    <xf numFmtId="0" fontId="12" fillId="0" borderId="21" xfId="3" applyFont="1" applyFill="1" applyBorder="1" applyAlignment="1" applyProtection="1">
      <alignment horizontal="center" vertical="center"/>
      <protection locked="0"/>
    </xf>
    <xf numFmtId="0" fontId="22" fillId="0" borderId="0" xfId="7" applyFont="1" applyFill="1" applyAlignment="1">
      <alignment vertical="center"/>
      <protection locked="0"/>
    </xf>
    <xf numFmtId="0" fontId="22" fillId="0" borderId="0" xfId="4" applyFont="1" applyFill="1" applyAlignment="1">
      <alignment vertical="center"/>
      <protection locked="0"/>
    </xf>
    <xf numFmtId="10" fontId="19" fillId="0" borderId="1" xfId="8" applyFont="1" applyFill="1" applyBorder="1" applyAlignment="1" applyProtection="1">
      <alignment horizontal="center" vertical="center"/>
    </xf>
    <xf numFmtId="0" fontId="15" fillId="0" borderId="0" xfId="4" applyFont="1" applyFill="1" applyAlignment="1">
      <alignment horizontal="left" vertical="center"/>
      <protection locked="0"/>
    </xf>
    <xf numFmtId="165" fontId="19" fillId="0" borderId="1" xfId="8" applyNumberFormat="1" applyFont="1" applyFill="1" applyBorder="1" applyAlignment="1" applyProtection="1">
      <alignment horizontal="center" vertical="center"/>
    </xf>
    <xf numFmtId="0" fontId="17" fillId="0" borderId="8" xfId="7" applyFont="1" applyFill="1" applyBorder="1" applyAlignment="1">
      <alignment horizontal="center" vertical="center"/>
      <protection locked="0"/>
    </xf>
    <xf numFmtId="0" fontId="16" fillId="0" borderId="0" xfId="4" applyFont="1" applyFill="1" applyAlignment="1">
      <alignment horizontal="left" vertical="center"/>
      <protection locked="0"/>
    </xf>
    <xf numFmtId="165" fontId="19" fillId="0" borderId="23" xfId="8" applyNumberFormat="1" applyFont="1" applyFill="1" applyBorder="1" applyAlignment="1" applyProtection="1">
      <alignment horizontal="center" vertical="center"/>
    </xf>
    <xf numFmtId="41" fontId="19" fillId="0" borderId="25" xfId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41" fontId="19" fillId="0" borderId="9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18" fillId="0" borderId="0" xfId="0" applyFont="1" applyProtection="1">
      <alignment vertical="center"/>
      <protection locked="0"/>
    </xf>
    <xf numFmtId="0" fontId="12" fillId="0" borderId="0" xfId="3" applyFont="1" applyFill="1" applyBorder="1" applyAlignment="1" applyProtection="1">
      <alignment vertical="center"/>
      <protection locked="0"/>
    </xf>
    <xf numFmtId="0" fontId="15" fillId="0" borderId="0" xfId="4" applyFont="1" applyFill="1" applyAlignment="1">
      <alignment vertical="center"/>
      <protection locked="0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0" borderId="0" xfId="3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/>
    <xf numFmtId="0" fontId="19" fillId="0" borderId="1" xfId="0" applyFont="1" applyBorder="1" applyAlignment="1">
      <alignment horizontal="center" vertical="center"/>
    </xf>
    <xf numFmtId="0" fontId="17" fillId="0" borderId="2" xfId="4" applyFont="1" applyFill="1" applyBorder="1" applyAlignment="1">
      <alignment horizontal="center" vertical="center"/>
      <protection locked="0"/>
    </xf>
    <xf numFmtId="0" fontId="23" fillId="0" borderId="0" xfId="0" applyFont="1">
      <alignment vertical="center"/>
    </xf>
    <xf numFmtId="0" fontId="29" fillId="0" borderId="0" xfId="3" applyFont="1" applyFill="1" applyBorder="1" applyAlignment="1" applyProtection="1">
      <alignment vertical="center"/>
      <protection locked="0"/>
    </xf>
    <xf numFmtId="42" fontId="33" fillId="0" borderId="1" xfId="4" applyNumberFormat="1" applyFont="1" applyFill="1" applyBorder="1" applyAlignment="1">
      <alignment horizontal="center" vertical="center" wrapText="1"/>
      <protection locked="0"/>
    </xf>
    <xf numFmtId="38" fontId="19" fillId="0" borderId="1" xfId="3" applyNumberFormat="1" applyFont="1" applyFill="1" applyBorder="1" applyAlignment="1" applyProtection="1">
      <alignment vertical="center"/>
    </xf>
    <xf numFmtId="0" fontId="33" fillId="0" borderId="0" xfId="3" applyFont="1" applyFill="1" applyBorder="1" applyAlignment="1" applyProtection="1">
      <alignment vertical="center"/>
      <protection locked="0"/>
    </xf>
    <xf numFmtId="0" fontId="29" fillId="0" borderId="0" xfId="3" quotePrefix="1" applyFont="1" applyFill="1" applyBorder="1" applyAlignment="1" applyProtection="1">
      <alignment vertical="center"/>
      <protection locked="0"/>
    </xf>
    <xf numFmtId="0" fontId="30" fillId="0" borderId="0" xfId="4" applyFont="1" applyFill="1" applyAlignment="1">
      <alignment vertical="center"/>
      <protection locked="0"/>
    </xf>
    <xf numFmtId="42" fontId="33" fillId="0" borderId="0" xfId="4" applyNumberFormat="1" applyFont="1" applyFill="1" applyAlignment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32" fillId="0" borderId="0" xfId="3" applyFont="1" applyFill="1" applyBorder="1" applyAlignment="1" applyProtection="1">
      <alignment vertical="top"/>
      <protection locked="0"/>
    </xf>
    <xf numFmtId="42" fontId="17" fillId="0" borderId="0" xfId="4" applyNumberFormat="1" applyFont="1" applyFill="1" applyAlignment="1" applyProtection="1">
      <alignment horizontal="center" vertical="center" wrapText="1"/>
    </xf>
    <xf numFmtId="44" fontId="17" fillId="0" borderId="0" xfId="4" applyNumberFormat="1" applyFont="1" applyFill="1" applyAlignment="1" applyProtection="1">
      <alignment horizontal="center" vertical="center" wrapText="1"/>
    </xf>
    <xf numFmtId="0" fontId="17" fillId="0" borderId="0" xfId="0" applyFont="1">
      <alignment vertical="center"/>
    </xf>
    <xf numFmtId="0" fontId="33" fillId="0" borderId="0" xfId="4" applyFont="1" applyFill="1" applyAlignment="1">
      <alignment vertical="center"/>
      <protection locked="0"/>
    </xf>
    <xf numFmtId="0" fontId="34" fillId="0" borderId="0" xfId="0" applyFont="1">
      <alignment vertical="center"/>
    </xf>
    <xf numFmtId="0" fontId="17" fillId="0" borderId="1" xfId="3" applyFont="1" applyFill="1" applyBorder="1" applyAlignment="1" applyProtection="1">
      <alignment horizontal="center" vertical="center"/>
      <protection locked="0"/>
    </xf>
    <xf numFmtId="165" fontId="17" fillId="0" borderId="1" xfId="2" applyNumberFormat="1" applyFont="1" applyFill="1" applyBorder="1" applyAlignment="1" applyProtection="1">
      <alignment horizontal="center" vertical="center"/>
      <protection locked="0"/>
    </xf>
    <xf numFmtId="165" fontId="19" fillId="0" borderId="1" xfId="2" applyNumberFormat="1" applyFont="1" applyFill="1" applyBorder="1" applyAlignment="1" applyProtection="1">
      <alignment horizontal="center" vertical="center"/>
    </xf>
    <xf numFmtId="165" fontId="17" fillId="0" borderId="1" xfId="2" applyNumberFormat="1" applyFont="1" applyFill="1" applyBorder="1" applyAlignment="1" applyProtection="1">
      <alignment horizontal="center" vertical="center"/>
    </xf>
    <xf numFmtId="0" fontId="21" fillId="5" borderId="1" xfId="3" applyFont="1" applyFill="1" applyBorder="1" applyAlignment="1" applyProtection="1">
      <alignment horizontal="center" vertical="center"/>
      <protection locked="0"/>
    </xf>
    <xf numFmtId="167" fontId="21" fillId="5" borderId="1" xfId="0" applyNumberFormat="1" applyFont="1" applyFill="1" applyBorder="1" applyAlignment="1">
      <alignment horizontal="center" vertical="center"/>
    </xf>
    <xf numFmtId="38" fontId="19" fillId="0" borderId="1" xfId="1" applyNumberFormat="1" applyFont="1" applyFill="1" applyBorder="1" applyAlignment="1" applyProtection="1">
      <alignment horizontal="center" vertical="center" wrapText="1"/>
    </xf>
    <xf numFmtId="0" fontId="33" fillId="0" borderId="1" xfId="5" applyFont="1" applyFill="1" applyAlignment="1">
      <alignment horizontal="center" vertical="center" wrapText="1"/>
      <protection locked="0"/>
    </xf>
    <xf numFmtId="175" fontId="19" fillId="0" borderId="1" xfId="1" applyNumberFormat="1" applyFont="1" applyFill="1" applyBorder="1" applyAlignment="1" applyProtection="1">
      <alignment horizontal="center" vertical="center" wrapText="1"/>
    </xf>
    <xf numFmtId="172" fontId="17" fillId="0" borderId="1" xfId="4" applyNumberFormat="1" applyFont="1" applyFill="1" applyBorder="1" applyAlignment="1" applyProtection="1">
      <alignment horizontal="center" vertical="center" wrapText="1"/>
    </xf>
    <xf numFmtId="172" fontId="17" fillId="0" borderId="1" xfId="1" applyNumberFormat="1" applyFont="1" applyFill="1" applyBorder="1" applyAlignment="1" applyProtection="1">
      <alignment horizontal="center" vertical="center" wrapText="1"/>
    </xf>
    <xf numFmtId="42" fontId="17" fillId="0" borderId="1" xfId="1" applyNumberFormat="1" applyFont="1" applyFill="1" applyBorder="1" applyAlignment="1" applyProtection="1">
      <alignment horizontal="center" vertical="center" wrapText="1"/>
    </xf>
    <xf numFmtId="42" fontId="17" fillId="0" borderId="1" xfId="1" applyNumberFormat="1" applyFont="1" applyFill="1" applyBorder="1" applyAlignment="1" applyProtection="1">
      <alignment vertical="center" wrapText="1"/>
    </xf>
    <xf numFmtId="167" fontId="21" fillId="5" borderId="1" xfId="0" applyNumberFormat="1" applyFont="1" applyFill="1" applyBorder="1">
      <alignment vertical="center"/>
    </xf>
    <xf numFmtId="0" fontId="39" fillId="0" borderId="26" xfId="0" quotePrefix="1" applyFont="1" applyBorder="1" applyAlignment="1">
      <alignment horizontal="left" vertical="center"/>
    </xf>
    <xf numFmtId="0" fontId="42" fillId="0" borderId="27" xfId="0" applyFont="1" applyBorder="1">
      <alignment vertical="center"/>
    </xf>
    <xf numFmtId="0" fontId="11" fillId="0" borderId="27" xfId="0" applyFont="1" applyBorder="1">
      <alignment vertical="center"/>
    </xf>
    <xf numFmtId="0" fontId="40" fillId="0" borderId="21" xfId="3" applyFont="1" applyFill="1" applyBorder="1" applyAlignment="1" applyProtection="1">
      <alignment vertical="center"/>
      <protection locked="0"/>
    </xf>
    <xf numFmtId="0" fontId="41" fillId="0" borderId="21" xfId="3" applyFont="1" applyFill="1" applyBorder="1" applyAlignment="1" applyProtection="1">
      <alignment vertical="center"/>
      <protection locked="0"/>
    </xf>
    <xf numFmtId="0" fontId="19" fillId="0" borderId="0" xfId="4" applyFont="1" applyFill="1" applyAlignment="1">
      <alignment vertical="center"/>
      <protection locked="0"/>
    </xf>
    <xf numFmtId="0" fontId="18" fillId="0" borderId="0" xfId="4" applyFont="1" applyFill="1" applyAlignment="1">
      <alignment vertical="center"/>
      <protection locked="0"/>
    </xf>
    <xf numFmtId="0" fontId="43" fillId="0" borderId="26" xfId="0" quotePrefix="1" applyFont="1" applyBorder="1" applyAlignment="1">
      <alignment horizontal="left" vertical="center"/>
    </xf>
    <xf numFmtId="0" fontId="9" fillId="0" borderId="26" xfId="0" quotePrefix="1" applyFont="1" applyBorder="1" applyAlignment="1">
      <alignment horizontal="left" vertical="center"/>
    </xf>
    <xf numFmtId="0" fontId="40" fillId="0" borderId="0" xfId="3" applyFont="1" applyFill="1" applyBorder="1" applyAlignment="1" applyProtection="1">
      <alignment vertical="center"/>
      <protection locked="0"/>
    </xf>
    <xf numFmtId="0" fontId="41" fillId="0" borderId="0" xfId="3" applyFont="1" applyFill="1" applyBorder="1" applyAlignment="1" applyProtection="1">
      <alignment horizontal="center" vertical="center"/>
      <protection locked="0"/>
    </xf>
    <xf numFmtId="0" fontId="45" fillId="0" borderId="28" xfId="0" applyFont="1" applyBorder="1" applyAlignment="1"/>
    <xf numFmtId="0" fontId="45" fillId="0" borderId="0" xfId="0" applyFont="1">
      <alignment vertical="center"/>
    </xf>
    <xf numFmtId="0" fontId="46" fillId="5" borderId="0" xfId="0" applyFont="1" applyFill="1" applyAlignment="1">
      <alignment wrapText="1"/>
    </xf>
    <xf numFmtId="0" fontId="47" fillId="5" borderId="0" xfId="0" applyFont="1" applyFill="1" applyAlignment="1">
      <alignment horizontal="left" vertical="center"/>
    </xf>
    <xf numFmtId="0" fontId="48" fillId="5" borderId="0" xfId="0" applyFont="1" applyFill="1" applyAlignment="1"/>
    <xf numFmtId="0" fontId="49" fillId="0" borderId="0" xfId="0" applyFont="1">
      <alignment vertical="center"/>
    </xf>
    <xf numFmtId="0" fontId="49" fillId="0" borderId="0" xfId="0" applyFont="1" applyProtection="1">
      <alignment vertical="center"/>
      <protection locked="0"/>
    </xf>
    <xf numFmtId="0" fontId="50" fillId="0" borderId="26" xfId="0" quotePrefix="1" applyFont="1" applyBorder="1" applyAlignment="1">
      <alignment horizontal="left" vertical="center"/>
    </xf>
    <xf numFmtId="4" fontId="52" fillId="0" borderId="1" xfId="0" applyNumberFormat="1" applyFont="1" applyBorder="1" applyAlignment="1">
      <alignment horizontal="left" vertical="top" wrapText="1"/>
    </xf>
    <xf numFmtId="0" fontId="10" fillId="3" borderId="1" xfId="0" quotePrefix="1" applyFont="1" applyFill="1" applyBorder="1" applyAlignment="1">
      <alignment horizontal="left" vertical="top"/>
    </xf>
    <xf numFmtId="0" fontId="53" fillId="0" borderId="0" xfId="0" applyFont="1" applyAlignment="1">
      <alignment vertical="top"/>
    </xf>
    <xf numFmtId="0" fontId="10" fillId="3" borderId="0" xfId="0" applyFont="1" applyFill="1" applyAlignment="1">
      <alignment horizontal="center" vertical="center"/>
    </xf>
    <xf numFmtId="4" fontId="53" fillId="3" borderId="1" xfId="0" applyNumberFormat="1" applyFont="1" applyFill="1" applyBorder="1" applyAlignment="1">
      <alignment horizontal="center" vertical="center"/>
    </xf>
    <xf numFmtId="0" fontId="10" fillId="3" borderId="0" xfId="0" quotePrefix="1" applyFont="1" applyFill="1" applyAlignment="1">
      <alignment horizontal="left" vertical="top"/>
    </xf>
    <xf numFmtId="42" fontId="49" fillId="0" borderId="0" xfId="0" applyNumberFormat="1" applyFont="1">
      <alignment vertical="center"/>
    </xf>
    <xf numFmtId="0" fontId="10" fillId="0" borderId="0" xfId="0" applyFont="1">
      <alignment vertical="center"/>
    </xf>
    <xf numFmtId="4" fontId="53" fillId="3" borderId="0" xfId="0" applyNumberFormat="1" applyFont="1" applyFill="1" applyAlignment="1">
      <alignment horizontal="center" vertical="center"/>
    </xf>
    <xf numFmtId="176" fontId="44" fillId="5" borderId="1" xfId="11" applyNumberFormat="1" applyFont="1" applyFill="1" applyBorder="1" applyAlignment="1">
      <alignment horizontal="center" vertical="center" shrinkToFit="1"/>
    </xf>
    <xf numFmtId="0" fontId="56" fillId="0" borderId="27" xfId="0" applyFont="1" applyBorder="1">
      <alignment vertical="center"/>
    </xf>
    <xf numFmtId="0" fontId="10" fillId="0" borderId="27" xfId="0" applyFont="1" applyBorder="1">
      <alignment vertical="center"/>
    </xf>
    <xf numFmtId="0" fontId="10" fillId="3" borderId="13" xfId="0" applyFont="1" applyFill="1" applyBorder="1" applyAlignment="1"/>
    <xf numFmtId="0" fontId="10" fillId="3" borderId="14" xfId="0" applyFont="1" applyFill="1" applyBorder="1" applyAlignment="1"/>
    <xf numFmtId="0" fontId="6" fillId="3" borderId="16" xfId="0" applyFont="1" applyFill="1" applyBorder="1" applyAlignment="1"/>
    <xf numFmtId="0" fontId="57" fillId="3" borderId="19" xfId="0" applyFont="1" applyFill="1" applyBorder="1" applyAlignment="1"/>
    <xf numFmtId="0" fontId="6" fillId="3" borderId="19" xfId="0" applyFont="1" applyFill="1" applyBorder="1" applyAlignment="1"/>
    <xf numFmtId="0" fontId="49" fillId="3" borderId="18" xfId="0" applyFont="1" applyFill="1" applyBorder="1" applyProtection="1">
      <alignment vertical="center"/>
      <protection locked="0"/>
    </xf>
    <xf numFmtId="0" fontId="49" fillId="3" borderId="19" xfId="0" applyFont="1" applyFill="1" applyBorder="1" applyProtection="1">
      <alignment vertical="center"/>
      <protection locked="0"/>
    </xf>
    <xf numFmtId="0" fontId="44" fillId="5" borderId="1" xfId="10" applyFont="1" applyFill="1" applyBorder="1" applyAlignment="1">
      <alignment horizontal="center" vertical="center"/>
    </xf>
    <xf numFmtId="0" fontId="7" fillId="0" borderId="1" xfId="10" applyFont="1" applyBorder="1" applyAlignment="1">
      <alignment horizontal="center" vertical="center"/>
    </xf>
    <xf numFmtId="0" fontId="10" fillId="3" borderId="15" xfId="0" applyFont="1" applyFill="1" applyBorder="1" applyAlignment="1"/>
    <xf numFmtId="0" fontId="58" fillId="3" borderId="0" xfId="0" applyFont="1" applyFill="1" applyAlignment="1"/>
    <xf numFmtId="0" fontId="6" fillId="3" borderId="0" xfId="0" applyFont="1" applyFill="1" applyAlignment="1"/>
    <xf numFmtId="0" fontId="6" fillId="3" borderId="17" xfId="0" applyFont="1" applyFill="1" applyBorder="1" applyAlignment="1"/>
    <xf numFmtId="42" fontId="6" fillId="3" borderId="17" xfId="0" applyNumberFormat="1" applyFont="1" applyFill="1" applyBorder="1">
      <alignment vertical="center"/>
    </xf>
    <xf numFmtId="0" fontId="49" fillId="3" borderId="20" xfId="0" applyFont="1" applyFill="1" applyBorder="1" applyProtection="1">
      <alignment vertical="center"/>
      <protection locked="0"/>
    </xf>
    <xf numFmtId="177" fontId="7" fillId="0" borderId="1" xfId="11" applyNumberFormat="1" applyFont="1" applyFill="1" applyBorder="1" applyAlignment="1">
      <alignment horizontal="center" vertical="center"/>
    </xf>
    <xf numFmtId="166" fontId="7" fillId="0" borderId="1" xfId="11" applyNumberFormat="1" applyFont="1" applyFill="1" applyBorder="1" applyAlignment="1">
      <alignment horizontal="center" vertical="center"/>
    </xf>
    <xf numFmtId="0" fontId="51" fillId="5" borderId="1" xfId="0" quotePrefix="1" applyFont="1" applyFill="1" applyBorder="1" applyAlignment="1">
      <alignment horizontal="center" vertical="center" wrapText="1"/>
    </xf>
    <xf numFmtId="0" fontId="10" fillId="0" borderId="0" xfId="0" applyFont="1" applyProtection="1">
      <alignment vertical="center"/>
      <protection locked="0"/>
    </xf>
    <xf numFmtId="0" fontId="60" fillId="0" borderId="0" xfId="3" applyFont="1" applyFill="1" applyBorder="1" applyAlignment="1" applyProtection="1">
      <alignment vertical="center"/>
      <protection locked="0"/>
    </xf>
    <xf numFmtId="0" fontId="61" fillId="0" borderId="0" xfId="4" applyFont="1" applyFill="1" applyAlignment="1">
      <alignment vertical="center"/>
      <protection locked="0"/>
    </xf>
    <xf numFmtId="0" fontId="62" fillId="0" borderId="0" xfId="0" applyFont="1" applyAlignment="1"/>
    <xf numFmtId="0" fontId="51" fillId="5" borderId="1" xfId="5" applyFont="1" applyFill="1" applyAlignment="1">
      <alignment horizontal="center" vertical="center" wrapText="1"/>
      <protection locked="0"/>
    </xf>
    <xf numFmtId="0" fontId="52" fillId="0" borderId="1" xfId="4" applyFont="1" applyFill="1" applyBorder="1" applyAlignment="1">
      <alignment horizontal="center" vertical="center"/>
      <protection locked="0"/>
    </xf>
    <xf numFmtId="169" fontId="52" fillId="0" borderId="1" xfId="4" applyNumberFormat="1" applyFont="1" applyFill="1" applyBorder="1" applyAlignment="1" applyProtection="1">
      <alignment horizontal="center" vertical="center"/>
    </xf>
    <xf numFmtId="170" fontId="52" fillId="0" borderId="1" xfId="4" applyNumberFormat="1" applyFont="1" applyFill="1" applyBorder="1" applyAlignment="1" applyProtection="1">
      <alignment horizontal="center" vertical="center"/>
    </xf>
    <xf numFmtId="171" fontId="52" fillId="0" borderId="1" xfId="4" applyNumberFormat="1" applyFont="1" applyFill="1" applyBorder="1" applyAlignment="1" applyProtection="1">
      <alignment horizontal="center" vertical="center"/>
    </xf>
    <xf numFmtId="42" fontId="52" fillId="0" borderId="1" xfId="1" applyNumberFormat="1" applyFont="1" applyFill="1" applyBorder="1" applyAlignment="1" applyProtection="1">
      <alignment horizontal="center" vertical="center"/>
    </xf>
    <xf numFmtId="0" fontId="52" fillId="0" borderId="0" xfId="4" applyFont="1" applyFill="1" applyAlignment="1">
      <alignment horizontal="center" vertical="center"/>
      <protection locked="0"/>
    </xf>
    <xf numFmtId="169" fontId="52" fillId="0" borderId="0" xfId="4" applyNumberFormat="1" applyFont="1" applyFill="1" applyAlignment="1" applyProtection="1">
      <alignment horizontal="center" vertical="center"/>
    </xf>
    <xf numFmtId="42" fontId="52" fillId="0" borderId="0" xfId="1" applyNumberFormat="1" applyFont="1" applyFill="1" applyBorder="1" applyAlignment="1" applyProtection="1">
      <alignment horizontal="center" vertical="center"/>
    </xf>
    <xf numFmtId="42" fontId="10" fillId="0" borderId="0" xfId="0" applyNumberFormat="1" applyFont="1">
      <alignment vertical="center"/>
    </xf>
    <xf numFmtId="0" fontId="52" fillId="0" borderId="1" xfId="0" applyFont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 wrapText="1"/>
    </xf>
    <xf numFmtId="44" fontId="60" fillId="0" borderId="0" xfId="3" applyNumberFormat="1" applyFont="1" applyFill="1" applyBorder="1" applyAlignment="1" applyProtection="1">
      <alignment vertical="center"/>
      <protection locked="0"/>
    </xf>
    <xf numFmtId="41" fontId="53" fillId="0" borderId="0" xfId="1" applyFont="1" applyFill="1" applyBorder="1" applyAlignment="1" applyProtection="1">
      <alignment horizontal="center" vertical="center"/>
    </xf>
    <xf numFmtId="1" fontId="19" fillId="0" borderId="0" xfId="0" applyNumberFormat="1" applyFont="1" applyProtection="1">
      <alignment vertical="center"/>
      <protection locked="0"/>
    </xf>
    <xf numFmtId="1" fontId="19" fillId="3" borderId="0" xfId="0" applyNumberFormat="1" applyFont="1" applyFill="1" applyProtection="1">
      <alignment vertical="center"/>
      <protection locked="0"/>
    </xf>
    <xf numFmtId="0" fontId="21" fillId="5" borderId="1" xfId="5" applyFont="1" applyFill="1">
      <alignment horizontal="center" vertical="center"/>
      <protection locked="0"/>
    </xf>
    <xf numFmtId="166" fontId="6" fillId="0" borderId="1" xfId="12" applyNumberFormat="1" applyFont="1" applyFill="1" applyBorder="1" applyAlignment="1">
      <alignment horizontal="center" vertical="center"/>
    </xf>
    <xf numFmtId="0" fontId="6" fillId="0" borderId="1" xfId="10" applyFont="1" applyBorder="1">
      <alignment vertical="center"/>
    </xf>
    <xf numFmtId="164" fontId="6" fillId="0" borderId="1" xfId="1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66" fillId="0" borderId="0" xfId="0" applyFont="1" applyAlignment="1">
      <alignment horizontal="left" vertical="center"/>
    </xf>
    <xf numFmtId="0" fontId="67" fillId="0" borderId="0" xfId="4" applyFont="1" applyFill="1" applyAlignment="1">
      <alignment vertical="center"/>
      <protection locked="0"/>
    </xf>
    <xf numFmtId="165" fontId="17" fillId="0" borderId="1" xfId="8" applyNumberFormat="1" applyFont="1" applyFill="1" applyBorder="1" applyAlignment="1" applyProtection="1">
      <alignment horizontal="center" vertical="center"/>
    </xf>
    <xf numFmtId="0" fontId="35" fillId="0" borderId="0" xfId="0" quotePrefix="1" applyFont="1" applyAlignment="1">
      <alignment horizontal="left" vertical="center"/>
    </xf>
    <xf numFmtId="0" fontId="50" fillId="0" borderId="0" xfId="0" quotePrefix="1" applyFont="1" applyAlignment="1">
      <alignment horizontal="left" vertical="center"/>
    </xf>
    <xf numFmtId="0" fontId="50" fillId="8" borderId="1" xfId="0" applyFont="1" applyFill="1" applyBorder="1" applyAlignment="1">
      <alignment horizontal="center"/>
    </xf>
    <xf numFmtId="3" fontId="52" fillId="0" borderId="0" xfId="0" applyNumberFormat="1" applyFont="1" applyAlignment="1"/>
    <xf numFmtId="0" fontId="10" fillId="0" borderId="0" xfId="4" applyFont="1" applyFill="1" applyAlignment="1">
      <alignment vertical="center"/>
      <protection locked="0"/>
    </xf>
    <xf numFmtId="0" fontId="52" fillId="0" borderId="0" xfId="14" applyFont="1" applyBorder="1" applyAlignment="1">
      <alignment vertical="center"/>
    </xf>
    <xf numFmtId="0" fontId="34" fillId="3" borderId="0" xfId="3" applyFont="1" applyFill="1" applyBorder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 vertical="center"/>
    </xf>
    <xf numFmtId="10" fontId="23" fillId="0" borderId="0" xfId="4" applyNumberFormat="1" applyFont="1" applyFill="1" applyAlignment="1">
      <alignment horizontal="center" vertical="center"/>
      <protection locked="0"/>
    </xf>
    <xf numFmtId="41" fontId="17" fillId="0" borderId="0" xfId="1" applyFont="1" applyFill="1" applyBorder="1" applyAlignment="1" applyProtection="1">
      <alignment vertical="center"/>
    </xf>
    <xf numFmtId="38" fontId="33" fillId="0" borderId="1" xfId="3" applyNumberFormat="1" applyFont="1" applyFill="1" applyBorder="1" applyAlignment="1" applyProtection="1">
      <alignment horizontal="center" vertical="center"/>
    </xf>
    <xf numFmtId="42" fontId="52" fillId="7" borderId="1" xfId="1" applyNumberFormat="1" applyFont="1" applyFill="1" applyBorder="1" applyAlignment="1" applyProtection="1">
      <alignment horizontal="center" vertical="center"/>
    </xf>
    <xf numFmtId="0" fontId="21" fillId="5" borderId="7" xfId="5" applyFont="1" applyFill="1" applyBorder="1">
      <alignment horizontal="center" vertical="center"/>
      <protection locked="0"/>
    </xf>
    <xf numFmtId="0" fontId="21" fillId="0" borderId="0" xfId="3" applyFont="1" applyFill="1" applyBorder="1" applyAlignment="1" applyProtection="1">
      <alignment vertical="center"/>
      <protection locked="0"/>
    </xf>
    <xf numFmtId="0" fontId="69" fillId="8" borderId="1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vertical="center" wrapText="1"/>
    </xf>
    <xf numFmtId="9" fontId="53" fillId="0" borderId="1" xfId="2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3" fillId="0" borderId="31" xfId="0" applyFont="1" applyBorder="1" applyAlignment="1">
      <alignment vertical="center" wrapText="1"/>
    </xf>
    <xf numFmtId="9" fontId="10" fillId="0" borderId="31" xfId="2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53" fillId="0" borderId="25" xfId="0" applyFont="1" applyBorder="1" applyAlignment="1">
      <alignment horizontal="right" vertical="center" wrapText="1"/>
    </xf>
    <xf numFmtId="9" fontId="53" fillId="0" borderId="32" xfId="2" applyFont="1" applyBorder="1" applyAlignment="1">
      <alignment horizontal="center" vertical="center" wrapText="1"/>
    </xf>
    <xf numFmtId="0" fontId="53" fillId="0" borderId="32" xfId="0" applyFont="1" applyBorder="1" applyAlignment="1">
      <alignment horizontal="center" vertical="center" wrapText="1"/>
    </xf>
    <xf numFmtId="0" fontId="53" fillId="0" borderId="32" xfId="0" applyFont="1" applyBorder="1" applyAlignment="1">
      <alignment horizontal="right" vertical="center" wrapText="1"/>
    </xf>
    <xf numFmtId="0" fontId="53" fillId="0" borderId="9" xfId="0" applyFont="1" applyBorder="1" applyAlignment="1">
      <alignment horizontal="right" vertical="center" wrapText="1"/>
    </xf>
    <xf numFmtId="9" fontId="53" fillId="0" borderId="9" xfId="2" applyFont="1" applyBorder="1" applyAlignment="1">
      <alignment horizontal="center" vertical="center" wrapText="1"/>
    </xf>
    <xf numFmtId="0" fontId="53" fillId="0" borderId="9" xfId="0" applyFont="1" applyBorder="1" applyAlignment="1">
      <alignment horizontal="center" vertical="center" wrapText="1"/>
    </xf>
    <xf numFmtId="0" fontId="71" fillId="0" borderId="0" xfId="3" applyFont="1" applyFill="1" applyBorder="1" applyAlignment="1" applyProtection="1">
      <alignment vertical="center"/>
      <protection locked="0"/>
    </xf>
    <xf numFmtId="0" fontId="73" fillId="0" borderId="0" xfId="3" applyFont="1" applyFill="1" applyBorder="1" applyAlignment="1" applyProtection="1">
      <alignment vertical="center"/>
      <protection locked="0"/>
    </xf>
    <xf numFmtId="0" fontId="21" fillId="5" borderId="11" xfId="5" applyFont="1" applyFill="1" applyBorder="1">
      <alignment horizontal="center" vertical="center"/>
      <protection locked="0"/>
    </xf>
    <xf numFmtId="0" fontId="17" fillId="0" borderId="1" xfId="4" applyFont="1" applyFill="1" applyBorder="1" applyAlignment="1">
      <alignment horizontal="center" vertical="center"/>
      <protection locked="0"/>
    </xf>
    <xf numFmtId="0" fontId="74" fillId="9" borderId="2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68" fillId="0" borderId="0" xfId="7" applyFont="1" applyFill="1" applyAlignment="1">
      <alignment horizontal="center" vertical="center"/>
      <protection locked="0"/>
    </xf>
    <xf numFmtId="168" fontId="75" fillId="0" borderId="1" xfId="0" applyNumberFormat="1" applyFont="1" applyBorder="1" applyProtection="1">
      <alignment vertical="center"/>
      <protection locked="0"/>
    </xf>
    <xf numFmtId="10" fontId="23" fillId="0" borderId="1" xfId="4" applyNumberFormat="1" applyFont="1" applyFill="1" applyBorder="1" applyAlignment="1">
      <alignment horizontal="center" vertical="center"/>
      <protection locked="0"/>
    </xf>
    <xf numFmtId="0" fontId="13" fillId="0" borderId="0" xfId="3" applyFont="1" applyFill="1" applyBorder="1" applyAlignment="1" applyProtection="1">
      <alignment vertical="center"/>
      <protection locked="0"/>
    </xf>
    <xf numFmtId="41" fontId="19" fillId="0" borderId="0" xfId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165" fontId="19" fillId="0" borderId="1" xfId="2" applyNumberFormat="1" applyFont="1" applyFill="1" applyBorder="1" applyAlignment="1">
      <alignment vertical="center"/>
    </xf>
    <xf numFmtId="41" fontId="19" fillId="0" borderId="8" xfId="1" applyFont="1" applyFill="1" applyBorder="1" applyAlignment="1">
      <alignment horizontal="center" vertical="center"/>
    </xf>
    <xf numFmtId="0" fontId="79" fillId="0" borderId="0" xfId="3" applyFont="1" applyFill="1" applyBorder="1" applyAlignment="1" applyProtection="1">
      <alignment vertical="center"/>
      <protection locked="0"/>
    </xf>
    <xf numFmtId="0" fontId="6" fillId="0" borderId="0" xfId="0" applyFont="1" applyAlignment="1">
      <alignment horizontal="left" vertical="center"/>
    </xf>
    <xf numFmtId="0" fontId="11" fillId="12" borderId="4" xfId="6" applyNumberFormat="1" applyFont="1" applyFill="1" applyBorder="1" applyAlignment="1">
      <alignment vertical="center"/>
    </xf>
    <xf numFmtId="0" fontId="11" fillId="12" borderId="6" xfId="6" applyNumberFormat="1" applyFont="1" applyFill="1" applyBorder="1" applyAlignment="1">
      <alignment vertical="center"/>
    </xf>
    <xf numFmtId="0" fontId="77" fillId="12" borderId="4" xfId="6" applyNumberFormat="1" applyFont="1" applyFill="1" applyBorder="1" applyAlignment="1">
      <alignment vertical="center"/>
    </xf>
    <xf numFmtId="0" fontId="44" fillId="5" borderId="1" xfId="0" applyFont="1" applyFill="1" applyBorder="1">
      <alignment vertical="center"/>
    </xf>
    <xf numFmtId="0" fontId="19" fillId="0" borderId="1" xfId="2" applyNumberFormat="1" applyFont="1" applyFill="1" applyBorder="1" applyAlignment="1">
      <alignment vertical="center"/>
    </xf>
    <xf numFmtId="0" fontId="17" fillId="0" borderId="36" xfId="3" applyFont="1" applyFill="1" applyBorder="1" applyAlignment="1" applyProtection="1">
      <alignment horizontal="center" vertical="center"/>
      <protection locked="0"/>
    </xf>
    <xf numFmtId="165" fontId="19" fillId="0" borderId="36" xfId="2" applyNumberFormat="1" applyFont="1" applyFill="1" applyBorder="1" applyAlignment="1">
      <alignment vertical="center"/>
    </xf>
    <xf numFmtId="0" fontId="19" fillId="0" borderId="36" xfId="2" applyNumberFormat="1" applyFont="1" applyFill="1" applyBorder="1" applyAlignment="1">
      <alignment vertical="center"/>
    </xf>
    <xf numFmtId="0" fontId="11" fillId="12" borderId="36" xfId="6" applyNumberFormat="1" applyFont="1" applyFill="1" applyBorder="1" applyAlignment="1">
      <alignment vertical="center"/>
    </xf>
    <xf numFmtId="0" fontId="11" fillId="12" borderId="37" xfId="6" applyNumberFormat="1" applyFont="1" applyFill="1" applyBorder="1" applyAlignment="1">
      <alignment vertical="center"/>
    </xf>
    <xf numFmtId="165" fontId="19" fillId="0" borderId="9" xfId="2" applyNumberFormat="1" applyFont="1" applyFill="1" applyBorder="1" applyAlignment="1">
      <alignment vertical="center"/>
    </xf>
    <xf numFmtId="0" fontId="19" fillId="0" borderId="9" xfId="2" applyNumberFormat="1" applyFont="1" applyFill="1" applyBorder="1" applyAlignment="1">
      <alignment vertical="center"/>
    </xf>
    <xf numFmtId="167" fontId="34" fillId="5" borderId="38" xfId="0" applyNumberFormat="1" applyFont="1" applyFill="1" applyBorder="1" applyAlignment="1">
      <alignment horizontal="center" vertical="center"/>
    </xf>
    <xf numFmtId="167" fontId="34" fillId="5" borderId="45" xfId="0" applyNumberFormat="1" applyFont="1" applyFill="1" applyBorder="1" applyAlignment="1">
      <alignment horizontal="center" vertical="center"/>
    </xf>
    <xf numFmtId="0" fontId="19" fillId="0" borderId="42" xfId="2" applyNumberFormat="1" applyFont="1" applyFill="1" applyBorder="1" applyAlignment="1">
      <alignment vertical="center"/>
    </xf>
    <xf numFmtId="0" fontId="19" fillId="0" borderId="40" xfId="2" applyNumberFormat="1" applyFont="1" applyFill="1" applyBorder="1" applyAlignment="1">
      <alignment vertical="center"/>
    </xf>
    <xf numFmtId="0" fontId="17" fillId="0" borderId="0" xfId="3" applyFont="1" applyFill="1" applyBorder="1" applyAlignment="1" applyProtection="1">
      <alignment horizontal="center" vertical="center"/>
      <protection locked="0"/>
    </xf>
    <xf numFmtId="165" fontId="17" fillId="0" borderId="0" xfId="2" applyNumberFormat="1" applyFont="1" applyFill="1" applyBorder="1" applyAlignment="1" applyProtection="1">
      <alignment horizontal="center" vertical="center"/>
    </xf>
    <xf numFmtId="165" fontId="19" fillId="0" borderId="0" xfId="2" applyNumberFormat="1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" vertical="center"/>
    </xf>
    <xf numFmtId="0" fontId="76" fillId="0" borderId="1" xfId="4" applyFont="1" applyFill="1" applyBorder="1" applyAlignment="1">
      <alignment horizontal="center" vertical="center"/>
      <protection locked="0"/>
    </xf>
    <xf numFmtId="180" fontId="65" fillId="0" borderId="29" xfId="16" applyNumberFormat="1" applyFont="1" applyFill="1" applyBorder="1" applyAlignment="1">
      <alignment horizontal="right" vertical="center"/>
    </xf>
    <xf numFmtId="0" fontId="81" fillId="3" borderId="1" xfId="0" applyFont="1" applyFill="1" applyBorder="1" applyAlignment="1">
      <alignment horizontal="right"/>
    </xf>
    <xf numFmtId="166" fontId="81" fillId="3" borderId="1" xfId="9" applyNumberFormat="1" applyFont="1" applyFill="1" applyBorder="1" applyAlignment="1">
      <alignment horizontal="right"/>
    </xf>
    <xf numFmtId="0" fontId="7" fillId="0" borderId="1" xfId="11" applyNumberFormat="1" applyFont="1" applyFill="1" applyBorder="1" applyAlignment="1">
      <alignment horizontal="center" vertical="center"/>
    </xf>
    <xf numFmtId="166" fontId="7" fillId="0" borderId="1" xfId="12" applyNumberFormat="1" applyFont="1" applyFill="1" applyBorder="1" applyAlignment="1">
      <alignment horizontal="center" vertical="center"/>
    </xf>
    <xf numFmtId="3" fontId="53" fillId="0" borderId="1" xfId="0" applyNumberFormat="1" applyFont="1" applyBorder="1" applyAlignment="1">
      <alignment horizontal="center" vertical="center"/>
    </xf>
    <xf numFmtId="4" fontId="53" fillId="0" borderId="1" xfId="0" applyNumberFormat="1" applyFont="1" applyBorder="1" applyAlignment="1">
      <alignment horizontal="center" vertical="center"/>
    </xf>
    <xf numFmtId="10" fontId="82" fillId="3" borderId="1" xfId="2" applyNumberFormat="1" applyFont="1" applyFill="1" applyBorder="1" applyAlignment="1">
      <alignment horizontal="right"/>
    </xf>
    <xf numFmtId="166" fontId="82" fillId="3" borderId="1" xfId="9" applyNumberFormat="1" applyFont="1" applyFill="1" applyBorder="1" applyAlignment="1">
      <alignment horizontal="right"/>
    </xf>
    <xf numFmtId="42" fontId="63" fillId="7" borderId="1" xfId="1" applyNumberFormat="1" applyFont="1" applyFill="1" applyBorder="1" applyAlignment="1" applyProtection="1">
      <alignment horizontal="center" vertical="center"/>
    </xf>
    <xf numFmtId="166" fontId="10" fillId="0" borderId="0" xfId="0" applyNumberFormat="1" applyFont="1">
      <alignment vertical="center"/>
    </xf>
    <xf numFmtId="0" fontId="1" fillId="0" borderId="0" xfId="0" applyFont="1" applyAlignment="1">
      <alignment horizontal="left" vertical="top" wrapText="1"/>
    </xf>
    <xf numFmtId="0" fontId="44" fillId="5" borderId="1" xfId="10" applyFont="1" applyFill="1" applyBorder="1" applyAlignment="1">
      <alignment horizontal="center" vertical="center" wrapText="1" shrinkToFit="1"/>
    </xf>
    <xf numFmtId="182" fontId="11" fillId="0" borderId="0" xfId="0" applyNumberFormat="1" applyFont="1">
      <alignment vertical="center"/>
    </xf>
    <xf numFmtId="0" fontId="1" fillId="0" borderId="0" xfId="0" applyFont="1" applyAlignment="1">
      <alignment vertical="top" wrapText="1"/>
    </xf>
    <xf numFmtId="9" fontId="44" fillId="5" borderId="1" xfId="11" applyNumberFormat="1" applyFont="1" applyFill="1" applyBorder="1" applyAlignment="1">
      <alignment horizontal="center" vertical="center" shrinkToFit="1"/>
    </xf>
    <xf numFmtId="10" fontId="44" fillId="5" borderId="1" xfId="11" applyNumberFormat="1" applyFont="1" applyFill="1" applyBorder="1" applyAlignment="1">
      <alignment horizontal="center" vertical="center" shrinkToFit="1"/>
    </xf>
    <xf numFmtId="176" fontId="7" fillId="0" borderId="1" xfId="1" applyNumberFormat="1" applyFont="1" applyFill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/>
    </xf>
    <xf numFmtId="0" fontId="0" fillId="0" borderId="0" xfId="0" applyAlignment="1"/>
    <xf numFmtId="0" fontId="84" fillId="5" borderId="1" xfId="10" applyFont="1" applyFill="1" applyBorder="1" applyAlignment="1">
      <alignment horizontal="center" vertical="center" wrapText="1" shrinkToFit="1"/>
    </xf>
    <xf numFmtId="0" fontId="85" fillId="0" borderId="0" xfId="0" applyFont="1">
      <alignment vertical="center"/>
    </xf>
    <xf numFmtId="0" fontId="70" fillId="0" borderId="0" xfId="0" applyFont="1" applyAlignment="1">
      <alignment horizontal="left" vertical="center" wrapText="1"/>
    </xf>
    <xf numFmtId="41" fontId="17" fillId="0" borderId="1" xfId="1" applyFont="1" applyFill="1" applyBorder="1" applyAlignment="1" applyProtection="1">
      <alignment horizontal="center" vertical="center"/>
      <protection locked="0"/>
    </xf>
    <xf numFmtId="1" fontId="0" fillId="0" borderId="0" xfId="0" applyNumberFormat="1" applyAlignment="1">
      <alignment horizontal="left" vertical="center"/>
    </xf>
    <xf numFmtId="9" fontId="10" fillId="0" borderId="0" xfId="0" applyNumberFormat="1" applyFont="1">
      <alignment vertical="center"/>
    </xf>
    <xf numFmtId="0" fontId="10" fillId="0" borderId="1" xfId="0" applyFont="1" applyBorder="1">
      <alignment vertical="center"/>
    </xf>
    <xf numFmtId="165" fontId="0" fillId="0" borderId="0" xfId="0" applyNumberFormat="1" applyAlignment="1">
      <alignment horizontal="center" vertical="center"/>
    </xf>
    <xf numFmtId="0" fontId="86" fillId="0" borderId="0" xfId="0" applyFont="1">
      <alignment vertical="center"/>
    </xf>
    <xf numFmtId="0" fontId="19" fillId="0" borderId="1" xfId="7" applyFont="1" applyFill="1" applyBorder="1" applyAlignment="1">
      <alignment horizontal="center" vertical="center"/>
      <protection locked="0"/>
    </xf>
    <xf numFmtId="0" fontId="87" fillId="0" borderId="0" xfId="7" applyFont="1" applyFill="1" applyAlignment="1">
      <alignment horizontal="center" vertical="center"/>
      <protection locked="0"/>
    </xf>
    <xf numFmtId="16" fontId="88" fillId="0" borderId="0" xfId="4" applyNumberFormat="1" applyFont="1" applyFill="1" applyAlignment="1">
      <alignment vertical="center"/>
      <protection locked="0"/>
    </xf>
    <xf numFmtId="0" fontId="89" fillId="0" borderId="0" xfId="0" applyFont="1">
      <alignment vertical="center"/>
    </xf>
    <xf numFmtId="10" fontId="90" fillId="0" borderId="1" xfId="8" applyFont="1" applyFill="1" applyBorder="1" applyAlignment="1" applyProtection="1">
      <alignment horizontal="center" vertical="center"/>
    </xf>
    <xf numFmtId="10" fontId="91" fillId="0" borderId="1" xfId="8" applyFont="1" applyFill="1" applyBorder="1" applyAlignment="1" applyProtection="1">
      <alignment horizontal="center" vertical="center"/>
    </xf>
    <xf numFmtId="183" fontId="6" fillId="3" borderId="17" xfId="0" applyNumberFormat="1" applyFont="1" applyFill="1" applyBorder="1">
      <alignment vertical="center"/>
    </xf>
    <xf numFmtId="165" fontId="10" fillId="0" borderId="0" xfId="0" applyNumberFormat="1" applyFont="1">
      <alignment vertical="center"/>
    </xf>
    <xf numFmtId="0" fontId="0" fillId="0" borderId="52" xfId="0" applyBorder="1" applyAlignment="1">
      <alignment horizontal="center" vertical="center"/>
    </xf>
    <xf numFmtId="10" fontId="0" fillId="0" borderId="0" xfId="2" applyNumberFormat="1" applyFont="1">
      <alignment vertical="center"/>
    </xf>
    <xf numFmtId="10" fontId="0" fillId="0" borderId="0" xfId="0" applyNumberFormat="1">
      <alignment vertical="center"/>
    </xf>
    <xf numFmtId="3" fontId="11" fillId="0" borderId="0" xfId="0" applyNumberFormat="1" applyFont="1">
      <alignment vertical="center"/>
    </xf>
    <xf numFmtId="41" fontId="11" fillId="0" borderId="0" xfId="1" applyFont="1">
      <alignment vertical="center"/>
    </xf>
    <xf numFmtId="9" fontId="11" fillId="0" borderId="0" xfId="0" applyNumberFormat="1" applyFont="1">
      <alignment vertical="center"/>
    </xf>
    <xf numFmtId="0" fontId="6" fillId="0" borderId="10" xfId="0" applyFont="1" applyBorder="1" applyAlignment="1">
      <alignment horizontal="left" vertical="center"/>
    </xf>
    <xf numFmtId="184" fontId="21" fillId="5" borderId="1" xfId="5" applyNumberFormat="1" applyFont="1" applyFill="1">
      <alignment horizontal="center" vertical="center"/>
      <protection locked="0"/>
    </xf>
    <xf numFmtId="185" fontId="21" fillId="5" borderId="1" xfId="5" applyNumberFormat="1" applyFont="1" applyFill="1">
      <alignment horizontal="center" vertical="center"/>
      <protection locked="0"/>
    </xf>
    <xf numFmtId="186" fontId="21" fillId="5" borderId="1" xfId="5" applyNumberFormat="1" applyFont="1" applyFill="1">
      <alignment horizontal="center" vertical="center"/>
      <protection locked="0"/>
    </xf>
    <xf numFmtId="187" fontId="21" fillId="5" borderId="1" xfId="5" applyNumberFormat="1" applyFont="1" applyFill="1">
      <alignment horizontal="center" vertical="center"/>
      <protection locked="0"/>
    </xf>
    <xf numFmtId="10" fontId="19" fillId="0" borderId="0" xfId="8" applyFont="1" applyFill="1" applyBorder="1" applyAlignment="1" applyProtection="1">
      <alignment horizontal="center" vertical="center"/>
    </xf>
    <xf numFmtId="168" fontId="75" fillId="0" borderId="0" xfId="0" applyNumberFormat="1" applyFont="1" applyProtection="1">
      <alignment vertical="center"/>
      <protection locked="0"/>
    </xf>
    <xf numFmtId="10" fontId="11" fillId="0" borderId="0" xfId="0" applyNumberFormat="1" applyFont="1">
      <alignment vertical="center"/>
    </xf>
    <xf numFmtId="9" fontId="0" fillId="0" borderId="0" xfId="2" applyFont="1">
      <alignment vertical="center"/>
    </xf>
    <xf numFmtId="43" fontId="35" fillId="0" borderId="26" xfId="0" quotePrefix="1" applyNumberFormat="1" applyFont="1" applyBorder="1" applyAlignment="1">
      <alignment horizontal="left" vertical="center"/>
    </xf>
    <xf numFmtId="9" fontId="19" fillId="0" borderId="0" xfId="0" applyNumberFormat="1" applyFont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41" fontId="19" fillId="0" borderId="1" xfId="1" applyFont="1" applyBorder="1">
      <alignment vertical="center"/>
    </xf>
    <xf numFmtId="43" fontId="11" fillId="0" borderId="0" xfId="0" applyNumberFormat="1" applyFont="1">
      <alignment vertical="center"/>
    </xf>
    <xf numFmtId="0" fontId="16" fillId="0" borderId="0" xfId="4" applyFont="1" applyFill="1" applyAlignment="1">
      <alignment horizontal="right" vertical="center"/>
      <protection locked="0"/>
    </xf>
    <xf numFmtId="41" fontId="52" fillId="0" borderId="1" xfId="1" applyFont="1" applyBorder="1" applyAlignment="1"/>
    <xf numFmtId="0" fontId="19" fillId="0" borderId="0" xfId="7" applyFont="1" applyFill="1" applyAlignment="1">
      <alignment horizontal="center" vertical="center"/>
      <protection locked="0"/>
    </xf>
    <xf numFmtId="0" fontId="76" fillId="0" borderId="0" xfId="4" applyFont="1" applyFill="1" applyAlignment="1">
      <alignment horizontal="center" vertical="center"/>
      <protection locked="0"/>
    </xf>
    <xf numFmtId="0" fontId="17" fillId="0" borderId="11" xfId="4" applyFont="1" applyFill="1" applyBorder="1" applyAlignment="1">
      <alignment horizontal="center" vertical="center"/>
      <protection locked="0"/>
    </xf>
    <xf numFmtId="43" fontId="12" fillId="0" borderId="21" xfId="3" applyNumberFormat="1" applyFont="1" applyFill="1" applyBorder="1" applyAlignment="1" applyProtection="1">
      <alignment horizontal="center" vertical="center"/>
      <protection locked="0"/>
    </xf>
    <xf numFmtId="43" fontId="12" fillId="0" borderId="0" xfId="3" applyNumberFormat="1" applyFont="1" applyFill="1" applyBorder="1" applyAlignment="1" applyProtection="1">
      <alignment vertical="center"/>
      <protection locked="0"/>
    </xf>
    <xf numFmtId="41" fontId="29" fillId="0" borderId="0" xfId="1" applyFont="1" applyFill="1" applyBorder="1" applyAlignment="1" applyProtection="1">
      <alignment vertical="center"/>
      <protection locked="0"/>
    </xf>
    <xf numFmtId="0" fontId="6" fillId="6" borderId="11" xfId="0" applyFont="1" applyFill="1" applyBorder="1" applyAlignment="1">
      <alignment horizontal="center" vertical="center"/>
    </xf>
    <xf numFmtId="41" fontId="19" fillId="0" borderId="53" xfId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94" fillId="0" borderId="0" xfId="0" applyFont="1" applyAlignment="1">
      <alignment horizontal="right" vertical="center"/>
    </xf>
    <xf numFmtId="189" fontId="94" fillId="0" borderId="0" xfId="0" applyNumberFormat="1" applyFont="1" applyAlignment="1">
      <alignment horizontal="center" vertical="center"/>
    </xf>
    <xf numFmtId="9" fontId="0" fillId="15" borderId="0" xfId="0" applyNumberFormat="1" applyFill="1">
      <alignment vertical="center"/>
    </xf>
    <xf numFmtId="0" fontId="23" fillId="8" borderId="1" xfId="5" applyFont="1" applyFill="1" applyAlignment="1">
      <alignment horizontal="center" vertical="center" wrapText="1"/>
      <protection locked="0"/>
    </xf>
    <xf numFmtId="0" fontId="93" fillId="8" borderId="1" xfId="0" applyFont="1" applyFill="1" applyBorder="1" applyAlignment="1">
      <alignment horizontal="center" vertical="center" wrapText="1"/>
    </xf>
    <xf numFmtId="189" fontId="94" fillId="8" borderId="1" xfId="0" applyNumberFormat="1" applyFont="1" applyFill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9" fontId="0" fillId="15" borderId="1" xfId="0" applyNumberFormat="1" applyFill="1" applyBorder="1">
      <alignment vertical="center"/>
    </xf>
    <xf numFmtId="9" fontId="0" fillId="15" borderId="1" xfId="2" applyFont="1" applyFill="1" applyBorder="1">
      <alignment vertical="center"/>
    </xf>
    <xf numFmtId="10" fontId="0" fillId="0" borderId="1" xfId="0" applyNumberFormat="1" applyBorder="1">
      <alignment vertical="center"/>
    </xf>
    <xf numFmtId="0" fontId="95" fillId="9" borderId="52" xfId="0" applyFont="1" applyFill="1" applyBorder="1" applyAlignment="1">
      <alignment horizontal="center" vertical="center"/>
    </xf>
    <xf numFmtId="180" fontId="0" fillId="0" borderId="52" xfId="0" applyNumberFormat="1" applyBorder="1" applyAlignment="1">
      <alignment horizontal="right" vertical="center"/>
    </xf>
    <xf numFmtId="178" fontId="7" fillId="14" borderId="1" xfId="11" applyNumberFormat="1" applyFont="1" applyFill="1" applyBorder="1" applyAlignment="1">
      <alignment horizontal="center" vertical="center"/>
    </xf>
    <xf numFmtId="177" fontId="7" fillId="14" borderId="1" xfId="11" applyNumberFormat="1" applyFont="1" applyFill="1" applyBorder="1" applyAlignment="1">
      <alignment horizontal="center" vertical="center"/>
    </xf>
    <xf numFmtId="179" fontId="7" fillId="14" borderId="1" xfId="11" applyNumberFormat="1" applyFont="1" applyFill="1" applyBorder="1" applyAlignment="1">
      <alignment horizontal="center" vertical="center"/>
    </xf>
    <xf numFmtId="181" fontId="7" fillId="14" borderId="1" xfId="11" applyNumberFormat="1" applyFont="1" applyFill="1" applyBorder="1" applyAlignment="1">
      <alignment horizontal="center" vertical="center"/>
    </xf>
    <xf numFmtId="9" fontId="10" fillId="0" borderId="0" xfId="2" applyFont="1">
      <alignment vertical="center"/>
    </xf>
    <xf numFmtId="0" fontId="1" fillId="0" borderId="0" xfId="0" applyFont="1" applyAlignment="1"/>
    <xf numFmtId="0" fontId="96" fillId="0" borderId="0" xfId="0" applyFont="1">
      <alignment vertical="center"/>
    </xf>
    <xf numFmtId="0" fontId="96" fillId="0" borderId="0" xfId="0" quotePrefix="1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/>
    </xf>
    <xf numFmtId="3" fontId="5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0" fontId="10" fillId="0" borderId="0" xfId="0" applyNumberFormat="1" applyFont="1">
      <alignment vertical="center"/>
    </xf>
    <xf numFmtId="0" fontId="98" fillId="0" borderId="0" xfId="0" quotePrefix="1" applyFont="1">
      <alignment vertical="center"/>
    </xf>
    <xf numFmtId="0" fontId="98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176" fontId="10" fillId="0" borderId="0" xfId="1" applyNumberFormat="1" applyFont="1">
      <alignment vertical="center"/>
    </xf>
    <xf numFmtId="0" fontId="10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165" fontId="17" fillId="0" borderId="11" xfId="8" applyNumberFormat="1" applyFont="1" applyFill="1" applyBorder="1" applyAlignment="1" applyProtection="1">
      <alignment horizontal="center" vertical="center"/>
    </xf>
    <xf numFmtId="165" fontId="76" fillId="0" borderId="1" xfId="8" applyNumberFormat="1" applyFont="1" applyFill="1" applyBorder="1" applyAlignment="1" applyProtection="1">
      <alignment horizontal="center" vertical="center"/>
    </xf>
    <xf numFmtId="9" fontId="11" fillId="0" borderId="0" xfId="1" applyNumberFormat="1" applyFont="1">
      <alignment vertical="center"/>
    </xf>
    <xf numFmtId="9" fontId="68" fillId="0" borderId="0" xfId="7" applyNumberFormat="1" applyFont="1" applyFill="1" applyAlignment="1">
      <alignment horizontal="center" vertical="center"/>
      <protection locked="0"/>
    </xf>
    <xf numFmtId="0" fontId="23" fillId="8" borderId="1" xfId="5" applyFont="1" applyFill="1" applyAlignment="1">
      <alignment vertical="center"/>
      <protection locked="0"/>
    </xf>
    <xf numFmtId="0" fontId="0" fillId="0" borderId="1" xfId="0" applyBorder="1">
      <alignment vertical="center"/>
    </xf>
    <xf numFmtId="165" fontId="0" fillId="0" borderId="1" xfId="2" applyNumberFormat="1" applyFont="1" applyBorder="1">
      <alignment vertical="center"/>
    </xf>
    <xf numFmtId="190" fontId="10" fillId="0" borderId="0" xfId="0" applyNumberFormat="1" applyFont="1">
      <alignment vertical="center"/>
    </xf>
    <xf numFmtId="0" fontId="1" fillId="0" borderId="0" xfId="0" applyFont="1" applyAlignment="1">
      <alignment horizontal="left" vertical="top" wrapText="1"/>
    </xf>
    <xf numFmtId="0" fontId="72" fillId="0" borderId="0" xfId="0" applyFont="1" applyAlignment="1">
      <alignment horizontal="center" vertical="center" wrapText="1"/>
    </xf>
    <xf numFmtId="0" fontId="92" fillId="0" borderId="3" xfId="0" applyFont="1" applyBorder="1" applyAlignment="1">
      <alignment horizontal="left" vertical="center" wrapText="1"/>
    </xf>
    <xf numFmtId="0" fontId="68" fillId="0" borderId="0" xfId="7" applyFont="1" applyFill="1" applyAlignment="1">
      <alignment horizontal="center" vertical="center"/>
      <protection locked="0"/>
    </xf>
    <xf numFmtId="0" fontId="17" fillId="11" borderId="1" xfId="7" applyFont="1" applyFill="1" applyBorder="1" applyAlignment="1">
      <alignment horizontal="center" vertical="center"/>
      <protection locked="0"/>
    </xf>
    <xf numFmtId="0" fontId="21" fillId="5" borderId="1" xfId="5" applyFont="1" applyFill="1">
      <alignment horizontal="center" vertical="center"/>
      <protection locked="0"/>
    </xf>
    <xf numFmtId="0" fontId="17" fillId="0" borderId="7" xfId="7" applyFont="1" applyFill="1" applyBorder="1" applyAlignment="1" applyProtection="1">
      <alignment horizontal="center" vertical="center" wrapText="1"/>
    </xf>
    <xf numFmtId="0" fontId="17" fillId="0" borderId="10" xfId="7" applyFont="1" applyFill="1" applyBorder="1" applyAlignment="1" applyProtection="1">
      <alignment horizontal="center" vertical="center"/>
    </xf>
    <xf numFmtId="0" fontId="21" fillId="5" borderId="11" xfId="5" applyFont="1" applyFill="1" applyBorder="1">
      <alignment horizontal="center" vertical="center"/>
      <protection locked="0"/>
    </xf>
    <xf numFmtId="0" fontId="21" fillId="5" borderId="22" xfId="5" applyFont="1" applyFill="1" applyBorder="1">
      <alignment horizontal="center" vertical="center"/>
      <protection locked="0"/>
    </xf>
    <xf numFmtId="0" fontId="6" fillId="0" borderId="7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4" fillId="10" borderId="11" xfId="0" applyFont="1" applyFill="1" applyBorder="1" applyAlignment="1">
      <alignment horizontal="left" vertical="center" wrapText="1"/>
    </xf>
    <xf numFmtId="0" fontId="4" fillId="10" borderId="22" xfId="0" applyFont="1" applyFill="1" applyBorder="1" applyAlignment="1">
      <alignment horizontal="left" vertical="center" wrapText="1"/>
    </xf>
    <xf numFmtId="168" fontId="78" fillId="10" borderId="11" xfId="0" applyNumberFormat="1" applyFont="1" applyFill="1" applyBorder="1" applyAlignment="1" applyProtection="1">
      <alignment horizontal="center" vertical="center"/>
      <protection locked="0"/>
    </xf>
    <xf numFmtId="168" fontId="78" fillId="1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4" fillId="5" borderId="11" xfId="0" applyFont="1" applyFill="1" applyBorder="1" applyAlignment="1">
      <alignment horizontal="left" vertical="center"/>
    </xf>
    <xf numFmtId="0" fontId="44" fillId="5" borderId="22" xfId="0" applyFont="1" applyFill="1" applyBorder="1" applyAlignment="1">
      <alignment horizontal="left" vertical="center"/>
    </xf>
    <xf numFmtId="0" fontId="96" fillId="16" borderId="5" xfId="0" quotePrefix="1" applyFont="1" applyFill="1" applyBorder="1" applyAlignment="1">
      <alignment horizontal="center" vertical="center"/>
    </xf>
    <xf numFmtId="0" fontId="96" fillId="16" borderId="0" xfId="0" quotePrefix="1" applyFont="1" applyFill="1" applyAlignment="1">
      <alignment horizontal="center" vertical="center"/>
    </xf>
    <xf numFmtId="0" fontId="96" fillId="16" borderId="5" xfId="0" applyFont="1" applyFill="1" applyBorder="1" applyAlignment="1">
      <alignment horizontal="center" vertical="center"/>
    </xf>
    <xf numFmtId="0" fontId="96" fillId="16" borderId="0" xfId="0" applyFont="1" applyFill="1" applyAlignment="1">
      <alignment horizontal="center" vertical="center"/>
    </xf>
    <xf numFmtId="0" fontId="17" fillId="0" borderId="1" xfId="7" applyFont="1" applyFill="1" applyBorder="1" applyAlignment="1">
      <alignment horizontal="center" vertical="center"/>
      <protection locked="0"/>
    </xf>
    <xf numFmtId="0" fontId="70" fillId="0" borderId="3" xfId="0" applyFont="1" applyBorder="1" applyAlignment="1">
      <alignment horizontal="center" vertical="center" wrapText="1"/>
    </xf>
    <xf numFmtId="0" fontId="70" fillId="0" borderId="0" xfId="0" applyFont="1" applyAlignment="1">
      <alignment horizontal="center" vertical="center" wrapText="1"/>
    </xf>
    <xf numFmtId="0" fontId="17" fillId="0" borderId="1" xfId="7" applyFont="1" applyFill="1" applyBorder="1" applyAlignment="1" applyProtection="1">
      <alignment horizontal="center" vertical="center" wrapText="1"/>
    </xf>
    <xf numFmtId="0" fontId="96" fillId="17" borderId="1" xfId="0" applyFont="1" applyFill="1" applyBorder="1" applyAlignment="1">
      <alignment horizontal="center" vertical="center"/>
    </xf>
    <xf numFmtId="0" fontId="96" fillId="16" borderId="1" xfId="0" applyFont="1" applyFill="1" applyBorder="1" applyAlignment="1">
      <alignment horizontal="center" vertical="center"/>
    </xf>
    <xf numFmtId="0" fontId="96" fillId="16" borderId="1" xfId="0" quotePrefix="1" applyFont="1" applyFill="1" applyBorder="1" applyAlignment="1">
      <alignment horizontal="center" vertical="center" wrapText="1"/>
    </xf>
    <xf numFmtId="0" fontId="96" fillId="16" borderId="1" xfId="0" quotePrefix="1" applyFont="1" applyFill="1" applyBorder="1" applyAlignment="1">
      <alignment horizontal="center" vertical="center"/>
    </xf>
    <xf numFmtId="0" fontId="44" fillId="5" borderId="1" xfId="10" applyFont="1" applyFill="1" applyBorder="1" applyAlignment="1">
      <alignment horizontal="center" vertical="center"/>
    </xf>
    <xf numFmtId="0" fontId="44" fillId="5" borderId="4" xfId="10" applyFont="1" applyFill="1" applyBorder="1" applyAlignment="1">
      <alignment horizontal="center" vertical="center"/>
    </xf>
    <xf numFmtId="0" fontId="44" fillId="5" borderId="9" xfId="10" applyFont="1" applyFill="1" applyBorder="1" applyAlignment="1">
      <alignment horizontal="center" vertical="center"/>
    </xf>
    <xf numFmtId="0" fontId="51" fillId="5" borderId="11" xfId="0" quotePrefix="1" applyFont="1" applyFill="1" applyBorder="1" applyAlignment="1">
      <alignment horizontal="center" vertical="center" wrapText="1"/>
    </xf>
    <xf numFmtId="0" fontId="51" fillId="5" borderId="12" xfId="0" quotePrefix="1" applyFont="1" applyFill="1" applyBorder="1" applyAlignment="1">
      <alignment horizontal="center" vertical="center" wrapText="1"/>
    </xf>
    <xf numFmtId="0" fontId="51" fillId="5" borderId="22" xfId="0" quotePrefix="1" applyFont="1" applyFill="1" applyBorder="1" applyAlignment="1">
      <alignment horizontal="center" vertical="center" wrapText="1"/>
    </xf>
    <xf numFmtId="0" fontId="51" fillId="5" borderId="4" xfId="0" quotePrefix="1" applyFont="1" applyFill="1" applyBorder="1" applyAlignment="1">
      <alignment horizontal="center" vertical="center" wrapText="1"/>
    </xf>
    <xf numFmtId="0" fontId="51" fillId="5" borderId="9" xfId="0" quotePrefix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3" fontId="52" fillId="0" borderId="1" xfId="4" applyNumberFormat="1" applyFont="1" applyFill="1" applyBorder="1" applyAlignment="1">
      <alignment horizontal="center" vertical="center"/>
      <protection locked="0"/>
    </xf>
    <xf numFmtId="42" fontId="10" fillId="0" borderId="1" xfId="1" applyNumberFormat="1" applyFont="1" applyFill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 wrapText="1"/>
    </xf>
    <xf numFmtId="0" fontId="53" fillId="0" borderId="0" xfId="0" applyFont="1" applyAlignment="1">
      <alignment horizontal="left" vertical="center" wrapText="1"/>
    </xf>
    <xf numFmtId="0" fontId="51" fillId="5" borderId="1" xfId="0" quotePrefix="1" applyFont="1" applyFill="1" applyBorder="1" applyAlignment="1">
      <alignment horizontal="center" vertical="center" wrapText="1"/>
    </xf>
    <xf numFmtId="0" fontId="51" fillId="5" borderId="1" xfId="5" applyFont="1" applyFill="1" applyAlignment="1">
      <alignment horizontal="center" vertical="center" wrapText="1"/>
      <protection locked="0"/>
    </xf>
    <xf numFmtId="174" fontId="33" fillId="10" borderId="40" xfId="1" applyNumberFormat="1" applyFont="1" applyFill="1" applyBorder="1" applyAlignment="1">
      <alignment horizontal="center" vertical="center"/>
    </xf>
    <xf numFmtId="174" fontId="33" fillId="10" borderId="41" xfId="1" applyNumberFormat="1" applyFont="1" applyFill="1" applyBorder="1" applyAlignment="1">
      <alignment horizontal="center" vertical="center"/>
    </xf>
    <xf numFmtId="0" fontId="21" fillId="5" borderId="7" xfId="5" applyFont="1" applyFill="1" applyBorder="1">
      <alignment horizontal="center" vertical="center"/>
      <protection locked="0"/>
    </xf>
    <xf numFmtId="0" fontId="21" fillId="5" borderId="8" xfId="5" applyFont="1" applyFill="1" applyBorder="1">
      <alignment horizontal="center" vertical="center"/>
      <protection locked="0"/>
    </xf>
    <xf numFmtId="165" fontId="17" fillId="0" borderId="11" xfId="2" applyNumberFormat="1" applyFont="1" applyFill="1" applyBorder="1" applyAlignment="1" applyProtection="1">
      <alignment horizontal="center" vertical="center"/>
      <protection locked="0"/>
    </xf>
    <xf numFmtId="165" fontId="17" fillId="0" borderId="22" xfId="2" applyNumberFormat="1" applyFont="1" applyFill="1" applyBorder="1" applyAlignment="1" applyProtection="1">
      <alignment horizontal="center" vertical="center"/>
      <protection locked="0"/>
    </xf>
    <xf numFmtId="165" fontId="17" fillId="0" borderId="11" xfId="2" applyNumberFormat="1" applyFont="1" applyFill="1" applyBorder="1" applyAlignment="1" applyProtection="1">
      <alignment horizontal="center" vertical="center"/>
    </xf>
    <xf numFmtId="165" fontId="17" fillId="0" borderId="22" xfId="2" applyNumberFormat="1" applyFont="1" applyFill="1" applyBorder="1" applyAlignment="1" applyProtection="1">
      <alignment horizontal="center" vertical="center"/>
    </xf>
    <xf numFmtId="0" fontId="21" fillId="5" borderId="38" xfId="5" applyFont="1" applyFill="1" applyBorder="1">
      <alignment horizontal="center" vertical="center"/>
      <protection locked="0"/>
    </xf>
    <xf numFmtId="185" fontId="21" fillId="5" borderId="43" xfId="5" applyNumberFormat="1" applyFont="1" applyFill="1" applyBorder="1">
      <alignment horizontal="center" vertical="center"/>
      <protection locked="0"/>
    </xf>
    <xf numFmtId="0" fontId="21" fillId="5" borderId="43" xfId="5" applyFont="1" applyFill="1" applyBorder="1">
      <alignment horizontal="center" vertical="center"/>
      <protection locked="0"/>
    </xf>
    <xf numFmtId="186" fontId="21" fillId="5" borderId="43" xfId="5" applyNumberFormat="1" applyFont="1" applyFill="1" applyBorder="1">
      <alignment horizontal="center" vertical="center"/>
      <protection locked="0"/>
    </xf>
    <xf numFmtId="187" fontId="21" fillId="5" borderId="43" xfId="5" applyNumberFormat="1" applyFont="1" applyFill="1" applyBorder="1">
      <alignment horizontal="center" vertical="center"/>
      <protection locked="0"/>
    </xf>
    <xf numFmtId="0" fontId="21" fillId="5" borderId="44" xfId="5" applyFont="1" applyFill="1" applyBorder="1">
      <alignment horizontal="center" vertical="center"/>
      <protection locked="0"/>
    </xf>
    <xf numFmtId="0" fontId="21" fillId="5" borderId="45" xfId="5" applyFont="1" applyFill="1" applyBorder="1">
      <alignment horizontal="center" vertical="center"/>
      <protection locked="0"/>
    </xf>
    <xf numFmtId="0" fontId="21" fillId="5" borderId="33" xfId="5" applyFont="1" applyFill="1" applyBorder="1" applyAlignment="1">
      <alignment horizontal="center" vertical="center" wrapText="1"/>
      <protection locked="0"/>
    </xf>
    <xf numFmtId="0" fontId="21" fillId="5" borderId="39" xfId="5" applyFont="1" applyFill="1" applyBorder="1" applyAlignment="1">
      <alignment horizontal="center" vertical="center" wrapText="1"/>
      <protection locked="0"/>
    </xf>
    <xf numFmtId="0" fontId="21" fillId="5" borderId="34" xfId="5" applyFont="1" applyFill="1" applyBorder="1" applyAlignment="1">
      <alignment horizontal="center" vertical="center" wrapText="1"/>
      <protection locked="0"/>
    </xf>
    <xf numFmtId="0" fontId="21" fillId="5" borderId="11" xfId="5" applyFont="1" applyFill="1" applyBorder="1" applyAlignment="1">
      <alignment horizontal="center" vertical="center" wrapText="1"/>
      <protection locked="0"/>
    </xf>
    <xf numFmtId="0" fontId="17" fillId="0" borderId="35" xfId="4" applyFont="1" applyFill="1" applyBorder="1" applyAlignment="1">
      <alignment horizontal="center" vertical="center"/>
      <protection locked="0"/>
    </xf>
    <xf numFmtId="0" fontId="17" fillId="0" borderId="36" xfId="4" applyFont="1" applyFill="1" applyBorder="1" applyAlignment="1">
      <alignment horizontal="center" vertical="center"/>
      <protection locked="0"/>
    </xf>
    <xf numFmtId="0" fontId="21" fillId="5" borderId="13" xfId="5" applyFont="1" applyFill="1" applyBorder="1" applyAlignment="1">
      <alignment horizontal="center" vertical="center" wrapText="1"/>
      <protection locked="0"/>
    </xf>
    <xf numFmtId="0" fontId="21" fillId="5" borderId="46" xfId="5" applyFont="1" applyFill="1" applyBorder="1" applyAlignment="1">
      <alignment horizontal="center" vertical="center" wrapText="1"/>
      <protection locked="0"/>
    </xf>
    <xf numFmtId="0" fontId="21" fillId="5" borderId="47" xfId="5" applyFont="1" applyFill="1" applyBorder="1" applyAlignment="1">
      <alignment horizontal="center" vertical="center" wrapText="1"/>
      <protection locked="0"/>
    </xf>
    <xf numFmtId="0" fontId="21" fillId="5" borderId="48" xfId="5" applyFont="1" applyFill="1" applyBorder="1" applyAlignment="1">
      <alignment horizontal="center" vertical="center" wrapText="1"/>
      <protection locked="0"/>
    </xf>
    <xf numFmtId="0" fontId="23" fillId="0" borderId="34" xfId="0" applyFont="1" applyBorder="1" applyAlignment="1">
      <alignment horizontal="center" vertical="center" wrapText="1"/>
    </xf>
    <xf numFmtId="167" fontId="21" fillId="5" borderId="2" xfId="0" applyNumberFormat="1" applyFont="1" applyFill="1" applyBorder="1" applyAlignment="1">
      <alignment horizontal="center" vertical="center"/>
    </xf>
    <xf numFmtId="167" fontId="21" fillId="5" borderId="49" xfId="0" applyNumberFormat="1" applyFont="1" applyFill="1" applyBorder="1" applyAlignment="1">
      <alignment horizontal="center" vertical="center"/>
    </xf>
    <xf numFmtId="167" fontId="21" fillId="5" borderId="7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0" fontId="23" fillId="0" borderId="35" xfId="0" applyFont="1" applyBorder="1" applyAlignment="1">
      <alignment horizontal="center" vertical="center" wrapText="1"/>
    </xf>
    <xf numFmtId="42" fontId="33" fillId="0" borderId="11" xfId="4" applyNumberFormat="1" applyFont="1" applyFill="1" applyBorder="1" applyAlignment="1">
      <alignment horizontal="center" vertical="center" wrapText="1"/>
      <protection locked="0"/>
    </xf>
    <xf numFmtId="42" fontId="33" fillId="0" borderId="22" xfId="4" applyNumberFormat="1" applyFont="1" applyFill="1" applyBorder="1" applyAlignment="1">
      <alignment horizontal="center" vertical="center" wrapText="1"/>
      <protection locked="0"/>
    </xf>
    <xf numFmtId="42" fontId="33" fillId="0" borderId="1" xfId="4" applyNumberFormat="1" applyFont="1" applyFill="1" applyBorder="1" applyAlignment="1">
      <alignment horizontal="center" vertical="center" wrapText="1"/>
      <protection locked="0"/>
    </xf>
    <xf numFmtId="167" fontId="21" fillId="5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7" fillId="3" borderId="11" xfId="0" applyFont="1" applyFill="1" applyBorder="1" applyAlignment="1">
      <alignment horizontal="center" vertical="center" wrapText="1"/>
    </xf>
    <xf numFmtId="0" fontId="97" fillId="3" borderId="12" xfId="0" applyFont="1" applyFill="1" applyBorder="1" applyAlignment="1">
      <alignment horizontal="center" vertical="center" wrapText="1"/>
    </xf>
    <xf numFmtId="0" fontId="97" fillId="3" borderId="2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97" fillId="3" borderId="1" xfId="0" applyFont="1" applyFill="1" applyBorder="1" applyAlignment="1">
      <alignment horizontal="center" vertical="center" wrapText="1"/>
    </xf>
    <xf numFmtId="0" fontId="93" fillId="8" borderId="1" xfId="0" applyFont="1" applyFill="1" applyBorder="1" applyAlignment="1">
      <alignment horizontal="center" vertical="center" wrapText="1"/>
    </xf>
    <xf numFmtId="0" fontId="83" fillId="13" borderId="0" xfId="0" applyFont="1" applyFill="1" applyAlignment="1">
      <alignment horizontal="center" vertical="center"/>
    </xf>
    <xf numFmtId="0" fontId="0" fillId="0" borderId="0" xfId="0" applyAlignment="1"/>
  </cellXfs>
  <cellStyles count="19">
    <cellStyle name="Comma [0] 2" xfId="12" xr:uid="{F57BB5E5-C58C-489F-9940-5642FDE31C2A}"/>
    <cellStyle name="Name" xfId="4" xr:uid="{F3E3B340-DEB7-4D64-9A27-8A01D4FA2353}"/>
    <cellStyle name="Name bold" xfId="7" xr:uid="{0406CE08-930E-4639-9630-B05CFAE80A16}"/>
    <cellStyle name="Normal 2" xfId="10" xr:uid="{53D4AE2A-48A2-4F0C-8E0C-FA91FCF9A565}"/>
    <cellStyle name="Normal 3" xfId="14" xr:uid="{701C75B1-D442-48FF-9458-B36802F61003}"/>
    <cellStyle name="Percent 2" xfId="13" xr:uid="{64BD25C3-B146-47D7-B15D-E5347B5F6DCD}"/>
    <cellStyle name="Table_header" xfId="5" xr:uid="{9EC52A60-56C1-4B93-9F15-D2D064DF8A83}"/>
    <cellStyle name="User_percent" xfId="8" xr:uid="{5326F120-3D36-4F33-9686-F4030E34EA9D}"/>
    <cellStyle name="백분율" xfId="2" builtinId="5"/>
    <cellStyle name="백분율 2" xfId="17" xr:uid="{ACF83700-5CE7-409C-A777-8204D4A68656}"/>
    <cellStyle name="쉼표 [0]" xfId="1" builtinId="6"/>
    <cellStyle name="쉼표 [0] 2 2" xfId="11" xr:uid="{0A4E3F1B-531D-41AA-93ED-63B9F6CF1E56}"/>
    <cellStyle name="쉼표 [0] 4" xfId="6" xr:uid="{AA5948FF-BE48-42F3-912B-9FFE8577E168}"/>
    <cellStyle name="쉼표 3" xfId="18" xr:uid="{5E83A060-6F23-4983-8C13-379C65717045}"/>
    <cellStyle name="스타일 1" xfId="15" xr:uid="{C7291A2A-44A8-4BED-8DF9-5272DA05A590}"/>
    <cellStyle name="제목" xfId="3" builtinId="15"/>
    <cellStyle name="통화 [0]" xfId="9" builtinId="7"/>
    <cellStyle name="표준" xfId="0" builtinId="0"/>
    <cellStyle name="표준 2" xfId="16" xr:uid="{265357FC-4760-4E5A-BA8C-D6CD1EDBA72A}"/>
  </cellStyles>
  <dxfs count="0"/>
  <tableStyles count="0" defaultTableStyle="TableStyleMedium2" defaultPivotStyle="PivotStyleLight16"/>
  <colors>
    <mruColors>
      <color rgb="FF008080"/>
      <color rgb="FFE7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257501</xdr:colOff>
      <xdr:row>8</xdr:row>
      <xdr:rowOff>8282</xdr:rowOff>
    </xdr:from>
    <xdr:to>
      <xdr:col>18</xdr:col>
      <xdr:colOff>257957</xdr:colOff>
      <xdr:row>11</xdr:row>
      <xdr:rowOff>11973</xdr:rowOff>
    </xdr:to>
    <xdr:cxnSp macro="">
      <xdr:nvCxnSpPr>
        <xdr:cNvPr id="29" name="Straight Arrow Connector 5">
          <a:extLst>
            <a:ext uri="{FF2B5EF4-FFF2-40B4-BE49-F238E27FC236}">
              <a16:creationId xmlns:a16="http://schemas.microsoft.com/office/drawing/2014/main" id="{D64DBFDC-C625-440F-AD88-F362F9A7D3BD}"/>
            </a:ext>
          </a:extLst>
        </xdr:cNvPr>
        <xdr:cNvCxnSpPr/>
      </xdr:nvCxnSpPr>
      <xdr:spPr>
        <a:xfrm flipH="1">
          <a:off x="15091653" y="2112065"/>
          <a:ext cx="456" cy="75740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262092</xdr:colOff>
      <xdr:row>12</xdr:row>
      <xdr:rowOff>0</xdr:rowOff>
    </xdr:from>
    <xdr:to>
      <xdr:col>13</xdr:col>
      <xdr:colOff>262092</xdr:colOff>
      <xdr:row>13</xdr:row>
      <xdr:rowOff>443</xdr:rowOff>
    </xdr:to>
    <xdr:cxnSp macro="">
      <xdr:nvCxnSpPr>
        <xdr:cNvPr id="31" name="Straight Arrow Connector 7">
          <a:extLst>
            <a:ext uri="{FF2B5EF4-FFF2-40B4-BE49-F238E27FC236}">
              <a16:creationId xmlns:a16="http://schemas.microsoft.com/office/drawing/2014/main" id="{62A604A0-671B-4CF3-AB40-6AC3A8F2CC83}"/>
            </a:ext>
          </a:extLst>
        </xdr:cNvPr>
        <xdr:cNvCxnSpPr/>
      </xdr:nvCxnSpPr>
      <xdr:spPr>
        <a:xfrm>
          <a:off x="12528635" y="3909391"/>
          <a:ext cx="0" cy="19094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253809</xdr:colOff>
      <xdr:row>16</xdr:row>
      <xdr:rowOff>19050</xdr:rowOff>
    </xdr:from>
    <xdr:to>
      <xdr:col>13</xdr:col>
      <xdr:colOff>253809</xdr:colOff>
      <xdr:row>17</xdr:row>
      <xdr:rowOff>19493</xdr:rowOff>
    </xdr:to>
    <xdr:cxnSp macro="">
      <xdr:nvCxnSpPr>
        <xdr:cNvPr id="33" name="Straight Arrow Connector 15">
          <a:extLst>
            <a:ext uri="{FF2B5EF4-FFF2-40B4-BE49-F238E27FC236}">
              <a16:creationId xmlns:a16="http://schemas.microsoft.com/office/drawing/2014/main" id="{02D5596E-45D9-4903-ADB8-5F0180982037}"/>
            </a:ext>
          </a:extLst>
        </xdr:cNvPr>
        <xdr:cNvCxnSpPr/>
      </xdr:nvCxnSpPr>
      <xdr:spPr>
        <a:xfrm>
          <a:off x="12520352" y="3191289"/>
          <a:ext cx="0" cy="422856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257866</xdr:colOff>
      <xdr:row>16</xdr:row>
      <xdr:rowOff>10176</xdr:rowOff>
    </xdr:from>
    <xdr:to>
      <xdr:col>18</xdr:col>
      <xdr:colOff>257866</xdr:colOff>
      <xdr:row>17</xdr:row>
      <xdr:rowOff>10619</xdr:rowOff>
    </xdr:to>
    <xdr:cxnSp macro="">
      <xdr:nvCxnSpPr>
        <xdr:cNvPr id="34" name="Straight Arrow Connector 17">
          <a:extLst>
            <a:ext uri="{FF2B5EF4-FFF2-40B4-BE49-F238E27FC236}">
              <a16:creationId xmlns:a16="http://schemas.microsoft.com/office/drawing/2014/main" id="{0E1A2A68-7C4C-4C54-B744-7E52D0C43B00}"/>
            </a:ext>
          </a:extLst>
        </xdr:cNvPr>
        <xdr:cNvCxnSpPr/>
      </xdr:nvCxnSpPr>
      <xdr:spPr>
        <a:xfrm>
          <a:off x="15092018" y="3182415"/>
          <a:ext cx="0" cy="422856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295760</xdr:colOff>
      <xdr:row>12</xdr:row>
      <xdr:rowOff>4970</xdr:rowOff>
    </xdr:from>
    <xdr:to>
      <xdr:col>23</xdr:col>
      <xdr:colOff>295761</xdr:colOff>
      <xdr:row>13</xdr:row>
      <xdr:rowOff>8826</xdr:rowOff>
    </xdr:to>
    <xdr:cxnSp macro="">
      <xdr:nvCxnSpPr>
        <xdr:cNvPr id="35" name="Straight Arrow Connector 18">
          <a:extLst>
            <a:ext uri="{FF2B5EF4-FFF2-40B4-BE49-F238E27FC236}">
              <a16:creationId xmlns:a16="http://schemas.microsoft.com/office/drawing/2014/main" id="{6953B925-01EB-4470-8019-975CCB21D785}"/>
            </a:ext>
          </a:extLst>
        </xdr:cNvPr>
        <xdr:cNvCxnSpPr/>
      </xdr:nvCxnSpPr>
      <xdr:spPr>
        <a:xfrm>
          <a:off x="17697521" y="3914361"/>
          <a:ext cx="1" cy="194356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282798</xdr:colOff>
      <xdr:row>16</xdr:row>
      <xdr:rowOff>0</xdr:rowOff>
    </xdr:from>
    <xdr:to>
      <xdr:col>23</xdr:col>
      <xdr:colOff>282798</xdr:colOff>
      <xdr:row>17</xdr:row>
      <xdr:rowOff>443</xdr:rowOff>
    </xdr:to>
    <xdr:cxnSp macro="">
      <xdr:nvCxnSpPr>
        <xdr:cNvPr id="36" name="Straight Arrow Connector 19">
          <a:extLst>
            <a:ext uri="{FF2B5EF4-FFF2-40B4-BE49-F238E27FC236}">
              <a16:creationId xmlns:a16="http://schemas.microsoft.com/office/drawing/2014/main" id="{F5D21D05-5588-4DC8-BE7B-3192C51E45E7}"/>
            </a:ext>
          </a:extLst>
        </xdr:cNvPr>
        <xdr:cNvCxnSpPr/>
      </xdr:nvCxnSpPr>
      <xdr:spPr>
        <a:xfrm>
          <a:off x="19361373" y="3590925"/>
          <a:ext cx="0" cy="19094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257775</xdr:colOff>
      <xdr:row>12</xdr:row>
      <xdr:rowOff>8822</xdr:rowOff>
    </xdr:from>
    <xdr:to>
      <xdr:col>18</xdr:col>
      <xdr:colOff>257775</xdr:colOff>
      <xdr:row>13</xdr:row>
      <xdr:rowOff>9264</xdr:rowOff>
    </xdr:to>
    <xdr:cxnSp macro="">
      <xdr:nvCxnSpPr>
        <xdr:cNvPr id="37" name="Straight Arrow Connector 21">
          <a:extLst>
            <a:ext uri="{FF2B5EF4-FFF2-40B4-BE49-F238E27FC236}">
              <a16:creationId xmlns:a16="http://schemas.microsoft.com/office/drawing/2014/main" id="{0F496BB4-A3CB-4240-8710-A2DD6B9BAE74}"/>
            </a:ext>
          </a:extLst>
        </xdr:cNvPr>
        <xdr:cNvCxnSpPr/>
      </xdr:nvCxnSpPr>
      <xdr:spPr>
        <a:xfrm>
          <a:off x="15091927" y="3918213"/>
          <a:ext cx="0" cy="190942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257684</xdr:colOff>
      <xdr:row>14</xdr:row>
      <xdr:rowOff>7467</xdr:rowOff>
    </xdr:from>
    <xdr:to>
      <xdr:col>18</xdr:col>
      <xdr:colOff>257685</xdr:colOff>
      <xdr:row>15</xdr:row>
      <xdr:rowOff>11323</xdr:rowOff>
    </xdr:to>
    <xdr:cxnSp macro="">
      <xdr:nvCxnSpPr>
        <xdr:cNvPr id="38" name="Straight Arrow Connector 23">
          <a:extLst>
            <a:ext uri="{FF2B5EF4-FFF2-40B4-BE49-F238E27FC236}">
              <a16:creationId xmlns:a16="http://schemas.microsoft.com/office/drawing/2014/main" id="{C2110403-55C8-47D3-85AB-85147A5B0E49}"/>
            </a:ext>
          </a:extLst>
        </xdr:cNvPr>
        <xdr:cNvCxnSpPr/>
      </xdr:nvCxnSpPr>
      <xdr:spPr>
        <a:xfrm>
          <a:off x="15091836" y="4422097"/>
          <a:ext cx="1" cy="194356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257592</xdr:colOff>
      <xdr:row>18</xdr:row>
      <xdr:rowOff>9525</xdr:rowOff>
    </xdr:from>
    <xdr:to>
      <xdr:col>18</xdr:col>
      <xdr:colOff>257592</xdr:colOff>
      <xdr:row>19</xdr:row>
      <xdr:rowOff>9967</xdr:rowOff>
    </xdr:to>
    <xdr:cxnSp macro="">
      <xdr:nvCxnSpPr>
        <xdr:cNvPr id="43" name="Straight Arrow Connector 25">
          <a:extLst>
            <a:ext uri="{FF2B5EF4-FFF2-40B4-BE49-F238E27FC236}">
              <a16:creationId xmlns:a16="http://schemas.microsoft.com/office/drawing/2014/main" id="{678B0D84-516E-411B-9C5C-9FBDE42E4775}"/>
            </a:ext>
          </a:extLst>
        </xdr:cNvPr>
        <xdr:cNvCxnSpPr/>
      </xdr:nvCxnSpPr>
      <xdr:spPr>
        <a:xfrm>
          <a:off x="15091744" y="4929395"/>
          <a:ext cx="0" cy="190942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341623</xdr:colOff>
      <xdr:row>27</xdr:row>
      <xdr:rowOff>16248</xdr:rowOff>
    </xdr:from>
    <xdr:to>
      <xdr:col>18</xdr:col>
      <xdr:colOff>249346</xdr:colOff>
      <xdr:row>28</xdr:row>
      <xdr:rowOff>190500</xdr:rowOff>
    </xdr:to>
    <xdr:cxnSp macro="">
      <xdr:nvCxnSpPr>
        <xdr:cNvPr id="44" name="Straight Arrow Connector 5">
          <a:extLst>
            <a:ext uri="{FF2B5EF4-FFF2-40B4-BE49-F238E27FC236}">
              <a16:creationId xmlns:a16="http://schemas.microsoft.com/office/drawing/2014/main" id="{A6FDE042-0647-4B08-AF60-8587D88E4405}"/>
            </a:ext>
          </a:extLst>
        </xdr:cNvPr>
        <xdr:cNvCxnSpPr/>
      </xdr:nvCxnSpPr>
      <xdr:spPr>
        <a:xfrm flipH="1">
          <a:off x="15018406" y="6576074"/>
          <a:ext cx="1100418" cy="381317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289892</xdr:colOff>
      <xdr:row>26</xdr:row>
      <xdr:rowOff>182217</xdr:rowOff>
    </xdr:from>
    <xdr:to>
      <xdr:col>13</xdr:col>
      <xdr:colOff>289892</xdr:colOff>
      <xdr:row>32</xdr:row>
      <xdr:rowOff>182217</xdr:rowOff>
    </xdr:to>
    <xdr:cxnSp macro="">
      <xdr:nvCxnSpPr>
        <xdr:cNvPr id="45" name="Straight Arrow Connector 7">
          <a:extLst>
            <a:ext uri="{FF2B5EF4-FFF2-40B4-BE49-F238E27FC236}">
              <a16:creationId xmlns:a16="http://schemas.microsoft.com/office/drawing/2014/main" id="{70BA900D-3B72-4D4A-96C8-3D116A22E15F}"/>
            </a:ext>
          </a:extLst>
        </xdr:cNvPr>
        <xdr:cNvCxnSpPr/>
      </xdr:nvCxnSpPr>
      <xdr:spPr>
        <a:xfrm>
          <a:off x="12556435" y="6808304"/>
          <a:ext cx="0" cy="123410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239876</xdr:colOff>
      <xdr:row>30</xdr:row>
      <xdr:rowOff>21038</xdr:rowOff>
    </xdr:from>
    <xdr:to>
      <xdr:col>16</xdr:col>
      <xdr:colOff>239876</xdr:colOff>
      <xdr:row>31</xdr:row>
      <xdr:rowOff>14654</xdr:rowOff>
    </xdr:to>
    <xdr:cxnSp macro="">
      <xdr:nvCxnSpPr>
        <xdr:cNvPr id="46" name="Straight Arrow Connector 7">
          <a:extLst>
            <a:ext uri="{FF2B5EF4-FFF2-40B4-BE49-F238E27FC236}">
              <a16:creationId xmlns:a16="http://schemas.microsoft.com/office/drawing/2014/main" id="{41843595-2162-4EB8-BC74-AD8B80982A94}"/>
            </a:ext>
          </a:extLst>
        </xdr:cNvPr>
        <xdr:cNvCxnSpPr/>
      </xdr:nvCxnSpPr>
      <xdr:spPr>
        <a:xfrm>
          <a:off x="14021818" y="7516480"/>
          <a:ext cx="0" cy="206097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283070</xdr:colOff>
      <xdr:row>30</xdr:row>
      <xdr:rowOff>11781</xdr:rowOff>
    </xdr:from>
    <xdr:to>
      <xdr:col>20</xdr:col>
      <xdr:colOff>283070</xdr:colOff>
      <xdr:row>32</xdr:row>
      <xdr:rowOff>190500</xdr:rowOff>
    </xdr:to>
    <xdr:cxnSp macro="">
      <xdr:nvCxnSpPr>
        <xdr:cNvPr id="47" name="Straight Arrow Connector 7">
          <a:extLst>
            <a:ext uri="{FF2B5EF4-FFF2-40B4-BE49-F238E27FC236}">
              <a16:creationId xmlns:a16="http://schemas.microsoft.com/office/drawing/2014/main" id="{9F20E04C-8909-42BF-814B-AB43D490285A}"/>
            </a:ext>
          </a:extLst>
        </xdr:cNvPr>
        <xdr:cNvCxnSpPr/>
      </xdr:nvCxnSpPr>
      <xdr:spPr>
        <a:xfrm>
          <a:off x="17345244" y="7192803"/>
          <a:ext cx="0" cy="59284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298174</xdr:colOff>
      <xdr:row>31</xdr:row>
      <xdr:rowOff>90134</xdr:rowOff>
    </xdr:from>
    <xdr:to>
      <xdr:col>23</xdr:col>
      <xdr:colOff>5847</xdr:colOff>
      <xdr:row>31</xdr:row>
      <xdr:rowOff>99391</xdr:rowOff>
    </xdr:to>
    <xdr:cxnSp macro="">
      <xdr:nvCxnSpPr>
        <xdr:cNvPr id="48" name="Straight Arrow Connector 7">
          <a:extLst>
            <a:ext uri="{FF2B5EF4-FFF2-40B4-BE49-F238E27FC236}">
              <a16:creationId xmlns:a16="http://schemas.microsoft.com/office/drawing/2014/main" id="{3E1E13A4-9B80-4739-B64F-93EB04BBE88B}"/>
            </a:ext>
          </a:extLst>
        </xdr:cNvPr>
        <xdr:cNvCxnSpPr/>
      </xdr:nvCxnSpPr>
      <xdr:spPr>
        <a:xfrm flipV="1">
          <a:off x="17360348" y="7478221"/>
          <a:ext cx="1496716" cy="9257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271467</xdr:colOff>
      <xdr:row>27</xdr:row>
      <xdr:rowOff>27454</xdr:rowOff>
    </xdr:from>
    <xdr:to>
      <xdr:col>20</xdr:col>
      <xdr:colOff>179190</xdr:colOff>
      <xdr:row>28</xdr:row>
      <xdr:rowOff>201706</xdr:rowOff>
    </xdr:to>
    <xdr:cxnSp macro="">
      <xdr:nvCxnSpPr>
        <xdr:cNvPr id="49" name="Straight Arrow Connector 5">
          <a:extLst>
            <a:ext uri="{FF2B5EF4-FFF2-40B4-BE49-F238E27FC236}">
              <a16:creationId xmlns:a16="http://schemas.microsoft.com/office/drawing/2014/main" id="{AFB8C6CB-CF15-4D49-B881-B30B170F56CB}"/>
            </a:ext>
          </a:extLst>
        </xdr:cNvPr>
        <xdr:cNvCxnSpPr/>
      </xdr:nvCxnSpPr>
      <xdr:spPr>
        <a:xfrm>
          <a:off x="16140945" y="6587280"/>
          <a:ext cx="1100419" cy="381317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257592</xdr:colOff>
      <xdr:row>6</xdr:row>
      <xdr:rowOff>9525</xdr:rowOff>
    </xdr:from>
    <xdr:to>
      <xdr:col>18</xdr:col>
      <xdr:colOff>257592</xdr:colOff>
      <xdr:row>7</xdr:row>
      <xdr:rowOff>9967</xdr:rowOff>
    </xdr:to>
    <xdr:cxnSp macro="">
      <xdr:nvCxnSpPr>
        <xdr:cNvPr id="60" name="Straight Arrow Connector 1">
          <a:extLst>
            <a:ext uri="{FF2B5EF4-FFF2-40B4-BE49-F238E27FC236}">
              <a16:creationId xmlns:a16="http://schemas.microsoft.com/office/drawing/2014/main" id="{310DF6FB-8828-4B55-A8B7-7CEE6499692B}"/>
            </a:ext>
          </a:extLst>
        </xdr:cNvPr>
        <xdr:cNvCxnSpPr/>
      </xdr:nvCxnSpPr>
      <xdr:spPr>
        <a:xfrm>
          <a:off x="15091744" y="1591503"/>
          <a:ext cx="0" cy="207507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264588</xdr:colOff>
      <xdr:row>8</xdr:row>
      <xdr:rowOff>8282</xdr:rowOff>
    </xdr:from>
    <xdr:to>
      <xdr:col>13</xdr:col>
      <xdr:colOff>265044</xdr:colOff>
      <xdr:row>11</xdr:row>
      <xdr:rowOff>11973</xdr:rowOff>
    </xdr:to>
    <xdr:cxnSp macro="">
      <xdr:nvCxnSpPr>
        <xdr:cNvPr id="63" name="Straight Arrow Connector 5">
          <a:extLst>
            <a:ext uri="{FF2B5EF4-FFF2-40B4-BE49-F238E27FC236}">
              <a16:creationId xmlns:a16="http://schemas.microsoft.com/office/drawing/2014/main" id="{9D23FC8A-3AE2-91FC-AA14-ACDF3B997813}"/>
            </a:ext>
          </a:extLst>
        </xdr:cNvPr>
        <xdr:cNvCxnSpPr/>
      </xdr:nvCxnSpPr>
      <xdr:spPr>
        <a:xfrm flipH="1">
          <a:off x="12531131" y="2112065"/>
          <a:ext cx="456" cy="75740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281153</xdr:colOff>
      <xdr:row>8</xdr:row>
      <xdr:rowOff>8282</xdr:rowOff>
    </xdr:from>
    <xdr:to>
      <xdr:col>23</xdr:col>
      <xdr:colOff>281609</xdr:colOff>
      <xdr:row>11</xdr:row>
      <xdr:rowOff>11973</xdr:rowOff>
    </xdr:to>
    <xdr:cxnSp macro="">
      <xdr:nvCxnSpPr>
        <xdr:cNvPr id="64" name="Straight Arrow Connector 5">
          <a:extLst>
            <a:ext uri="{FF2B5EF4-FFF2-40B4-BE49-F238E27FC236}">
              <a16:creationId xmlns:a16="http://schemas.microsoft.com/office/drawing/2014/main" id="{E0A18133-8EC6-12BF-37F2-86D9CC529C0C}"/>
            </a:ext>
          </a:extLst>
        </xdr:cNvPr>
        <xdr:cNvCxnSpPr/>
      </xdr:nvCxnSpPr>
      <xdr:spPr>
        <a:xfrm flipH="1">
          <a:off x="17682914" y="2112065"/>
          <a:ext cx="456" cy="75740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262411</xdr:colOff>
      <xdr:row>17</xdr:row>
      <xdr:rowOff>308878</xdr:rowOff>
    </xdr:from>
    <xdr:to>
      <xdr:col>13</xdr:col>
      <xdr:colOff>262411</xdr:colOff>
      <xdr:row>18</xdr:row>
      <xdr:rowOff>184763</xdr:rowOff>
    </xdr:to>
    <xdr:cxnSp macro="">
      <xdr:nvCxnSpPr>
        <xdr:cNvPr id="70" name="Straight Arrow Connector 15">
          <a:extLst>
            <a:ext uri="{FF2B5EF4-FFF2-40B4-BE49-F238E27FC236}">
              <a16:creationId xmlns:a16="http://schemas.microsoft.com/office/drawing/2014/main" id="{098113C5-973F-4D92-A3AD-39825016E058}"/>
            </a:ext>
          </a:extLst>
        </xdr:cNvPr>
        <xdr:cNvCxnSpPr/>
      </xdr:nvCxnSpPr>
      <xdr:spPr>
        <a:xfrm>
          <a:off x="12505699" y="4932166"/>
          <a:ext cx="0" cy="19094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291400</xdr:colOff>
      <xdr:row>17</xdr:row>
      <xdr:rowOff>289828</xdr:rowOff>
    </xdr:from>
    <xdr:to>
      <xdr:col>23</xdr:col>
      <xdr:colOff>291400</xdr:colOff>
      <xdr:row>18</xdr:row>
      <xdr:rowOff>165713</xdr:rowOff>
    </xdr:to>
    <xdr:cxnSp macro="">
      <xdr:nvCxnSpPr>
        <xdr:cNvPr id="71" name="Straight Arrow Connector 19">
          <a:extLst>
            <a:ext uri="{FF2B5EF4-FFF2-40B4-BE49-F238E27FC236}">
              <a16:creationId xmlns:a16="http://schemas.microsoft.com/office/drawing/2014/main" id="{B4713D85-3F89-4331-9C07-2971EA6A22CA}"/>
            </a:ext>
          </a:extLst>
        </xdr:cNvPr>
        <xdr:cNvCxnSpPr/>
      </xdr:nvCxnSpPr>
      <xdr:spPr>
        <a:xfrm>
          <a:off x="17663535" y="4913116"/>
          <a:ext cx="0" cy="19094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245738</xdr:colOff>
      <xdr:row>32</xdr:row>
      <xdr:rowOff>12245</xdr:rowOff>
    </xdr:from>
    <xdr:to>
      <xdr:col>16</xdr:col>
      <xdr:colOff>245738</xdr:colOff>
      <xdr:row>33</xdr:row>
      <xdr:rowOff>5861</xdr:rowOff>
    </xdr:to>
    <xdr:cxnSp macro="">
      <xdr:nvCxnSpPr>
        <xdr:cNvPr id="74" name="Straight Arrow Connector 7">
          <a:extLst>
            <a:ext uri="{FF2B5EF4-FFF2-40B4-BE49-F238E27FC236}">
              <a16:creationId xmlns:a16="http://schemas.microsoft.com/office/drawing/2014/main" id="{585D45B0-6DB0-4C7D-B097-41866813149B}"/>
            </a:ext>
          </a:extLst>
        </xdr:cNvPr>
        <xdr:cNvCxnSpPr/>
      </xdr:nvCxnSpPr>
      <xdr:spPr>
        <a:xfrm>
          <a:off x="14027680" y="7932649"/>
          <a:ext cx="0" cy="206097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20731</xdr:rowOff>
    </xdr:from>
    <xdr:to>
      <xdr:col>4</xdr:col>
      <xdr:colOff>96932</xdr:colOff>
      <xdr:row>4</xdr:row>
      <xdr:rowOff>132790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E9ADC3-58D1-4C71-BEFC-01B257967242}"/>
            </a:ext>
          </a:extLst>
        </xdr:cNvPr>
        <xdr:cNvSpPr txBox="1"/>
      </xdr:nvSpPr>
      <xdr:spPr>
        <a:xfrm>
          <a:off x="0" y="565017"/>
          <a:ext cx="4723361" cy="5202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800" b="1" i="0" u="none" strike="noStrike">
              <a:solidFill>
                <a:srgbClr val="31869B"/>
              </a:solidFill>
              <a:latin typeface="+mj-ea"/>
              <a:ea typeface="+mj-ea"/>
              <a:cs typeface="Calibri"/>
            </a:rPr>
            <a:t>Results</a:t>
          </a:r>
        </a:p>
        <a:p>
          <a:endParaRPr lang="en-US" sz="1800" b="1" i="0" u="none" strike="noStrike">
            <a:solidFill>
              <a:srgbClr val="31869B"/>
            </a:solidFill>
            <a:latin typeface="+mj-ea"/>
            <a:ea typeface="+mj-ea"/>
            <a:cs typeface="Calibri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oiyer\Downloads\BIM%20in%20VHL-RCC_KR_20231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Introduction"/>
      <sheetName val="Dashboard"/>
      <sheetName val="Epidemiology"/>
      <sheetName val="Market Share"/>
      <sheetName val="Drug and Drug Admin Costs"/>
      <sheetName val="Subsequent Treatments"/>
      <sheetName val="Surgery &amp; Surgical Comp Costs"/>
      <sheetName val="Monitoring Costs"/>
      <sheetName val="Adverse Events Costs"/>
      <sheetName val="Cost Summary"/>
      <sheetName val="Results Summary"/>
      <sheetName val="Results"/>
      <sheetName val="Detailed Results"/>
      <sheetName val="DSA Results"/>
      <sheetName val="Belzutifan"/>
      <sheetName val="Routine surveillance"/>
      <sheetName val="DSA Setup"/>
      <sheetName val="DSA Tornado Setup"/>
      <sheetName val="References"/>
      <sheetName val="Raw_Epidemiology"/>
      <sheetName val="Raw_Survival curves"/>
      <sheetName val="Raw_Drug Admin"/>
      <sheetName val="Raw_Monitoring Costs"/>
      <sheetName val="Raw_AE costs"/>
      <sheetName val="Raw_Surgery costs"/>
      <sheetName val="Raw_CPI"/>
      <sheetName val="Raw - Demographics"/>
      <sheetName val="Raw_1L Subseq ToT"/>
      <sheetName val="&lt;Dashboard Chart Data&gt;"/>
      <sheetName val="&lt;Dashboard Controls&gt;"/>
      <sheetName val="Central Control"/>
    </sheetNames>
    <sheetDataSet>
      <sheetData sheetId="0"/>
      <sheetData sheetId="1"/>
      <sheetData sheetId="2"/>
      <sheetData sheetId="3"/>
      <sheetData sheetId="4"/>
      <sheetData sheetId="5">
        <row r="33">
          <cell r="J33" t="str">
            <v>No max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">
          <cell r="C9" t="str">
            <v>Budget impact model of belzutifan as a treatment for Von Hippel Lindau Disease-associated renal cell carcinoma, central nervous system hemangioblastoma, and pancreatic neuroendocrine tumor</v>
          </cell>
        </row>
        <row r="95">
          <cell r="C95" t="str">
            <v>Belzutifan</v>
          </cell>
        </row>
        <row r="96">
          <cell r="C96" t="str">
            <v>Routine surveillance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on, Yo Seop" id="{9B9697FA-82CB-4FE5-998D-1727B8860C9E}" userId="S::jeonyo@merck.com::fc9e42cd-d829-449c-982b-7ec445f68b66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6" dT="2026-02-10T02:51:18.05" personId="{9B9697FA-82CB-4FE5-998D-1727B8860C9E}" id="{852EB127-6DAD-4580-A598-7437C1528DEF}">
    <text>고가약(내복외용제 475원, 주사제 4,750원 이상) 8.69% / 저가약 10.41%</text>
  </threadedComment>
  <threadedComment ref="I22" dT="2026-02-11T04:24:28.00" personId="{9B9697FA-82CB-4FE5-998D-1727B8860C9E}" id="{ED85935A-716D-422A-9EF9-F0298676FE8E}">
    <text>별도 산식 계산</text>
  </threadedComment>
  <threadedComment ref="I24" dT="2026-02-10T02:54:49.14" personId="{9B9697FA-82CB-4FE5-998D-1727B8860C9E}" id="{29A24CE2-AFE8-436A-B097-6080684D78B0}">
    <text xml:space="preserve">적으로급여되나약가가확인되지않는경우, compendium약가x0.65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44C4343-9B89-4066-916D-850F1598101A}">
  <we:reference id="f9d83b14-4e6f-42a7-9129-3d6070647a4c" version="2.9.0.0" store="EXCatalog" storeType="EXCatalog"/>
  <we:alternateReferences>
    <we:reference id="WA200000421" version="2.9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A2107D2D-EFF4-4549-B34D-973BD6D84FAE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C5C6-7DA7-4366-9EED-737693FAD2A8}">
  <dimension ref="A1:V56"/>
  <sheetViews>
    <sheetView showGridLines="0" topLeftCell="A18" zoomScaleNormal="100" workbookViewId="0">
      <selection activeCell="J39" sqref="J39"/>
    </sheetView>
  </sheetViews>
  <sheetFormatPr defaultColWidth="9" defaultRowHeight="15"/>
  <cols>
    <col min="1" max="1" width="5.140625" style="1" customWidth="1"/>
    <col min="2" max="2" width="3.42578125" style="1" customWidth="1"/>
    <col min="3" max="3" width="18.7109375" style="1" customWidth="1"/>
    <col min="4" max="4" width="18.42578125" style="1" bestFit="1" customWidth="1"/>
    <col min="5" max="5" width="22.28515625" style="1" customWidth="1"/>
    <col min="6" max="6" width="11.5703125" style="1" customWidth="1"/>
    <col min="7" max="7" width="24.28515625" style="1" customWidth="1"/>
    <col min="8" max="8" width="20.85546875" style="1" customWidth="1"/>
    <col min="9" max="9" width="7.85546875" style="1" customWidth="1"/>
    <col min="10" max="10" width="24.28515625" style="1" customWidth="1"/>
    <col min="11" max="11" width="20.42578125" style="1" bestFit="1" customWidth="1"/>
    <col min="12" max="13" width="14.5703125" style="1" customWidth="1"/>
    <col min="14" max="14" width="7.42578125" style="1" customWidth="1"/>
    <col min="15" max="16384" width="9" style="1"/>
  </cols>
  <sheetData>
    <row r="1" spans="1:22" s="15" customFormat="1" ht="27" customHeight="1">
      <c r="A1" s="14"/>
      <c r="B1" s="16" t="str">
        <f>title</f>
        <v>Budget impact model of belzutifan as a treatment for Von Hippel Lindau Disease-associated renal cell carcinoma, central nervous system hemangioblastoma, and pancreatic neuroendocrine tumor</v>
      </c>
      <c r="D1" s="16"/>
    </row>
    <row r="3" spans="1:22" ht="24" thickBot="1">
      <c r="A3" s="72" t="s">
        <v>0</v>
      </c>
      <c r="B3" s="73"/>
      <c r="C3" s="73"/>
      <c r="D3" s="73"/>
      <c r="E3" s="73"/>
      <c r="F3" s="73"/>
      <c r="G3" s="73"/>
      <c r="H3" s="73"/>
      <c r="I3" s="73"/>
      <c r="J3" s="73"/>
      <c r="K3" s="73"/>
    </row>
    <row r="4" spans="1:22" ht="16.5" customHeight="1" thickTop="1">
      <c r="A4" s="2"/>
      <c r="B4" s="2"/>
      <c r="C4" s="2"/>
      <c r="D4" s="2"/>
      <c r="E4" s="2"/>
      <c r="F4" s="2"/>
      <c r="G4" s="2"/>
    </row>
    <row r="5" spans="1:22" ht="16.5" customHeight="1" thickBot="1">
      <c r="A5" s="2"/>
      <c r="B5" s="71" t="s">
        <v>1</v>
      </c>
      <c r="C5" s="13"/>
      <c r="D5" s="13"/>
      <c r="E5" s="13"/>
      <c r="F5" s="13"/>
      <c r="G5" s="13"/>
      <c r="H5" s="13"/>
      <c r="I5" s="13"/>
      <c r="J5" s="13"/>
      <c r="K5" s="13"/>
    </row>
    <row r="6" spans="1:22" ht="6" customHeight="1" thickTop="1">
      <c r="A6" s="2"/>
      <c r="B6" s="82"/>
      <c r="C6" s="82"/>
      <c r="D6" s="82"/>
      <c r="E6" s="82"/>
      <c r="F6" s="82"/>
      <c r="G6" s="82"/>
      <c r="H6" s="82"/>
      <c r="I6" s="82"/>
      <c r="J6" s="82"/>
      <c r="K6" s="82"/>
      <c r="L6" s="83"/>
    </row>
    <row r="7" spans="1:22" ht="39.75" customHeight="1">
      <c r="A7" s="2"/>
      <c r="B7" s="323" t="s">
        <v>372</v>
      </c>
      <c r="C7" s="323"/>
      <c r="D7" s="323"/>
      <c r="E7" s="323"/>
      <c r="F7" s="323"/>
      <c r="G7" s="323"/>
      <c r="H7" s="323"/>
      <c r="I7" s="323"/>
      <c r="J7" s="323"/>
      <c r="K7" s="323"/>
      <c r="L7" s="227"/>
    </row>
    <row r="8" spans="1:22" ht="16.5" customHeight="1">
      <c r="A8" s="2"/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24"/>
    </row>
    <row r="9" spans="1:22" ht="16.5" customHeight="1" thickBot="1">
      <c r="B9" s="71" t="s">
        <v>2</v>
      </c>
      <c r="C9" s="71"/>
      <c r="D9" s="13"/>
      <c r="E9" s="13"/>
      <c r="F9" s="13"/>
      <c r="G9" s="13"/>
      <c r="H9" s="13"/>
      <c r="I9" s="13"/>
      <c r="J9" s="13"/>
      <c r="K9" s="13"/>
      <c r="L9" s="17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6.5" customHeight="1" thickTop="1">
      <c r="B10" s="74"/>
      <c r="C10" s="75"/>
      <c r="D10" s="75"/>
      <c r="E10" s="75"/>
      <c r="F10" s="75"/>
      <c r="G10" s="19"/>
      <c r="H10" s="19"/>
      <c r="I10" s="19"/>
      <c r="J10" s="19"/>
      <c r="K10" s="19"/>
      <c r="L10" s="34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6.5" customHeight="1">
      <c r="C11" s="76" t="s">
        <v>3</v>
      </c>
      <c r="D11" s="77"/>
      <c r="E11" s="77"/>
      <c r="F11" s="11"/>
      <c r="G11" s="179" t="s">
        <v>4</v>
      </c>
      <c r="H11" s="36"/>
      <c r="I11" s="36"/>
      <c r="J11" s="36"/>
      <c r="K11" s="36"/>
      <c r="L11" s="36"/>
    </row>
    <row r="12" spans="1:22" ht="16.5" customHeight="1">
      <c r="C12" s="76" t="s">
        <v>5</v>
      </c>
      <c r="D12" s="77"/>
      <c r="E12" s="77"/>
      <c r="F12" s="11"/>
      <c r="G12" s="179" t="s">
        <v>6</v>
      </c>
      <c r="J12" s="36"/>
      <c r="K12" s="36"/>
      <c r="L12" s="36"/>
    </row>
    <row r="13" spans="1:22" ht="16.5" customHeight="1">
      <c r="C13" s="76" t="s">
        <v>7</v>
      </c>
      <c r="D13" s="77"/>
      <c r="E13" s="77"/>
      <c r="F13" s="11"/>
      <c r="G13" s="179">
        <v>3</v>
      </c>
      <c r="H13" s="36"/>
      <c r="I13" s="36"/>
      <c r="J13" s="36"/>
      <c r="K13" s="36"/>
      <c r="L13" s="36"/>
    </row>
    <row r="14" spans="1:22" ht="16.5" customHeight="1">
      <c r="C14" s="76" t="s">
        <v>8</v>
      </c>
      <c r="D14" s="77"/>
      <c r="E14" s="77"/>
      <c r="F14" s="11"/>
      <c r="G14" s="179" t="s">
        <v>9</v>
      </c>
      <c r="H14" s="36"/>
      <c r="I14" s="36"/>
      <c r="J14" s="36"/>
      <c r="K14" s="36"/>
      <c r="L14" s="36"/>
    </row>
    <row r="15" spans="1:22" ht="16.5" customHeight="1">
      <c r="G15" s="37"/>
      <c r="H15" s="36"/>
      <c r="I15" s="36"/>
      <c r="J15" s="36"/>
      <c r="K15" s="36"/>
      <c r="L15" s="36"/>
    </row>
    <row r="16" spans="1:22" ht="16.5" customHeight="1" thickBot="1">
      <c r="B16" s="78" t="s">
        <v>10</v>
      </c>
      <c r="C16" s="79"/>
      <c r="D16" s="79"/>
      <c r="E16" s="79"/>
      <c r="F16" s="79"/>
      <c r="G16" s="13"/>
      <c r="H16" s="13"/>
      <c r="I16" s="13"/>
      <c r="J16" s="13"/>
      <c r="K16" s="13"/>
      <c r="L16" s="34"/>
    </row>
    <row r="17" spans="1:22" ht="16.5" customHeight="1" thickTop="1">
      <c r="B17" s="80"/>
      <c r="C17" s="76"/>
      <c r="D17" s="3"/>
      <c r="E17" s="2"/>
      <c r="F17" s="81"/>
      <c r="G17" s="38"/>
      <c r="H17" s="34"/>
      <c r="I17" s="34"/>
      <c r="J17" s="34"/>
      <c r="K17" s="34"/>
      <c r="L17" s="34"/>
    </row>
    <row r="18" spans="1:22" s="2" customFormat="1" ht="15" customHeight="1">
      <c r="A18" s="39"/>
      <c r="G18" s="140" t="s">
        <v>11</v>
      </c>
      <c r="H18" s="40" t="s">
        <v>12</v>
      </c>
      <c r="I18" s="7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s="2" customFormat="1" ht="15" customHeight="1">
      <c r="A19" s="39"/>
      <c r="G19" s="140" t="s">
        <v>10</v>
      </c>
      <c r="H19" s="40" t="s">
        <v>272</v>
      </c>
      <c r="I19" s="7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s="2" customFormat="1" ht="15" customHeight="1"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6.149999999999999" customHeight="1" thickBot="1">
      <c r="B21" s="78" t="s">
        <v>14</v>
      </c>
      <c r="C21" s="79"/>
      <c r="D21" s="79"/>
      <c r="E21" s="79"/>
      <c r="F21" s="79"/>
      <c r="G21" s="13"/>
      <c r="H21" s="13"/>
      <c r="I21" s="13"/>
      <c r="J21" s="13"/>
      <c r="K21" s="13"/>
      <c r="L21" s="17"/>
    </row>
    <row r="22" spans="1:22" ht="16.149999999999999" customHeight="1" thickTop="1">
      <c r="K22" s="17"/>
      <c r="L22" s="17"/>
    </row>
    <row r="23" spans="1:22" ht="16.149999999999999" customHeight="1">
      <c r="G23" s="241"/>
      <c r="J23" s="241"/>
      <c r="K23" s="17"/>
    </row>
    <row r="24" spans="1:22" ht="16.5" customHeight="1">
      <c r="B24" s="55" t="s">
        <v>290</v>
      </c>
      <c r="G24" s="178" t="s">
        <v>15</v>
      </c>
      <c r="H24" s="140" t="s">
        <v>291</v>
      </c>
      <c r="I24" s="155"/>
    </row>
    <row r="25" spans="1:22" ht="16.5" customHeight="1">
      <c r="C25" s="145"/>
      <c r="D25" s="145"/>
      <c r="E25" s="145"/>
      <c r="G25" s="41">
        <v>2020</v>
      </c>
      <c r="H25" s="272">
        <v>1055</v>
      </c>
      <c r="I25" s="155"/>
    </row>
    <row r="26" spans="1:22" ht="16.5" customHeight="1">
      <c r="C26" s="324" t="s">
        <v>16</v>
      </c>
      <c r="D26" s="324"/>
      <c r="E26" s="324"/>
      <c r="G26" s="41">
        <v>2021</v>
      </c>
      <c r="H26" s="272">
        <v>1125</v>
      </c>
      <c r="I26" s="155"/>
    </row>
    <row r="27" spans="1:22">
      <c r="C27" s="324"/>
      <c r="D27" s="324"/>
      <c r="E27" s="324"/>
      <c r="G27" s="41">
        <v>2022</v>
      </c>
      <c r="H27" s="272">
        <v>1142</v>
      </c>
      <c r="I27" s="155"/>
    </row>
    <row r="28" spans="1:22">
      <c r="C28" s="324"/>
      <c r="D28" s="324"/>
      <c r="E28" s="324"/>
      <c r="G28" s="41">
        <v>2023</v>
      </c>
      <c r="H28" s="272">
        <v>1286</v>
      </c>
      <c r="I28" s="237"/>
    </row>
    <row r="29" spans="1:22">
      <c r="C29" s="324"/>
      <c r="D29" s="324"/>
      <c r="E29" s="324"/>
      <c r="G29" s="275">
        <v>2024</v>
      </c>
      <c r="H29" s="272">
        <v>1333</v>
      </c>
      <c r="I29" s="240"/>
    </row>
    <row r="30" spans="1:22" ht="16.5" customHeight="1">
      <c r="C30" s="324"/>
      <c r="D30" s="324"/>
      <c r="E30" s="324"/>
      <c r="G30" s="36"/>
      <c r="H30" s="36"/>
      <c r="I30" s="156"/>
    </row>
    <row r="31" spans="1:22" ht="16.5" customHeight="1">
      <c r="C31" s="42"/>
      <c r="G31" s="274"/>
      <c r="H31" s="156"/>
      <c r="I31" s="156"/>
    </row>
    <row r="32" spans="1:22" ht="16.5" customHeight="1">
      <c r="C32" s="42"/>
      <c r="G32" s="36"/>
      <c r="H32" s="36"/>
      <c r="I32" s="36"/>
    </row>
    <row r="33" spans="2:9" ht="16.5" customHeight="1">
      <c r="B33" s="55" t="s">
        <v>371</v>
      </c>
      <c r="G33" s="140" t="s">
        <v>15</v>
      </c>
      <c r="H33" s="140" t="s">
        <v>292</v>
      </c>
      <c r="I33" s="157"/>
    </row>
    <row r="34" spans="2:9" ht="16.5" customHeight="1">
      <c r="B34" s="146"/>
      <c r="G34" s="41">
        <v>2020</v>
      </c>
      <c r="H34" s="272">
        <f>H25*$C$37*$C$40</f>
        <v>269.31272727272727</v>
      </c>
      <c r="I34" s="157"/>
    </row>
    <row r="35" spans="2:9" ht="16.5" customHeight="1">
      <c r="C35" s="76" t="s">
        <v>19</v>
      </c>
      <c r="G35" s="41">
        <v>2021</v>
      </c>
      <c r="H35" s="272">
        <f t="shared" ref="H35:H38" si="0">H26*$C$37*$C$40</f>
        <v>287.18181818181819</v>
      </c>
      <c r="I35" s="157"/>
    </row>
    <row r="36" spans="2:9" ht="16.5" customHeight="1">
      <c r="C36" s="178" t="s">
        <v>20</v>
      </c>
      <c r="D36" s="178" t="s">
        <v>21</v>
      </c>
      <c r="G36" s="41">
        <v>2022</v>
      </c>
      <c r="H36" s="272">
        <f t="shared" si="0"/>
        <v>291.52145454545456</v>
      </c>
      <c r="I36" s="157"/>
    </row>
    <row r="37" spans="2:9" ht="16.5" customHeight="1">
      <c r="C37" s="23">
        <v>0.27</v>
      </c>
      <c r="D37" s="242" t="s">
        <v>22</v>
      </c>
      <c r="G37" s="41">
        <v>2023</v>
      </c>
      <c r="H37" s="272">
        <f t="shared" si="0"/>
        <v>328.28072727272729</v>
      </c>
      <c r="I37" s="157"/>
    </row>
    <row r="38" spans="2:9" ht="16.5" customHeight="1">
      <c r="C38" s="76" t="s">
        <v>293</v>
      </c>
      <c r="D38" s="273"/>
      <c r="G38" s="275">
        <v>2024</v>
      </c>
      <c r="H38" s="272">
        <f t="shared" si="0"/>
        <v>340.27854545454545</v>
      </c>
      <c r="I38" s="157"/>
    </row>
    <row r="39" spans="2:9" ht="16.5" customHeight="1">
      <c r="C39" s="178" t="s">
        <v>20</v>
      </c>
      <c r="D39" s="178" t="s">
        <v>21</v>
      </c>
      <c r="G39" s="212" t="s">
        <v>294</v>
      </c>
      <c r="H39" s="184">
        <f>(H38/H36)^(1/2)-1</f>
        <v>8.0393649476139473E-2</v>
      </c>
      <c r="I39" s="157"/>
    </row>
    <row r="40" spans="2:9">
      <c r="C40" s="23">
        <f>1-3/55</f>
        <v>0.94545454545454544</v>
      </c>
      <c r="D40" s="242" t="s">
        <v>22</v>
      </c>
    </row>
    <row r="41" spans="2:9">
      <c r="C41" s="261"/>
      <c r="D41" s="273"/>
    </row>
    <row r="42" spans="2:9">
      <c r="B42" s="55" t="s">
        <v>17</v>
      </c>
      <c r="G42" s="140" t="s">
        <v>15</v>
      </c>
      <c r="H42" s="140" t="s">
        <v>18</v>
      </c>
    </row>
    <row r="43" spans="2:9">
      <c r="B43" s="146"/>
      <c r="G43" s="179">
        <v>2025</v>
      </c>
      <c r="H43" s="236">
        <f>H38*(1+$H$39)</f>
        <v>367.63477956206879</v>
      </c>
    </row>
    <row r="44" spans="2:9">
      <c r="G44" s="179">
        <v>2026</v>
      </c>
      <c r="H44" s="236">
        <f>H43*(1+$H$39)</f>
        <v>397.19028116541955</v>
      </c>
    </row>
    <row r="45" spans="2:9">
      <c r="G45" s="179">
        <v>2027</v>
      </c>
      <c r="H45" s="236">
        <f>H44*(1+$H$39)</f>
        <v>429.12185740476156</v>
      </c>
    </row>
    <row r="46" spans="2:9">
      <c r="G46" s="179">
        <v>2028</v>
      </c>
      <c r="H46" s="236">
        <f>H45*(1+$H$39)</f>
        <v>463.62052959150986</v>
      </c>
    </row>
    <row r="47" spans="2:9">
      <c r="G47" s="179">
        <v>2029</v>
      </c>
      <c r="H47" s="236">
        <f>H46*(1+$H$39)</f>
        <v>500.89267593743187</v>
      </c>
    </row>
    <row r="48" spans="2:9">
      <c r="G48" s="179">
        <v>2030</v>
      </c>
      <c r="H48" s="236">
        <f>H47*(1+$H$39)</f>
        <v>541.16126615191126</v>
      </c>
    </row>
    <row r="51" spans="7:9">
      <c r="G51" s="253"/>
    </row>
    <row r="52" spans="7:9">
      <c r="H52" s="254"/>
    </row>
    <row r="53" spans="7:9" hidden="1">
      <c r="G53" s="254"/>
    </row>
    <row r="54" spans="7:9" hidden="1"/>
    <row r="55" spans="7:9" hidden="1">
      <c r="I55" s="255"/>
    </row>
    <row r="56" spans="7:9" hidden="1"/>
  </sheetData>
  <sortState xmlns:xlrd2="http://schemas.microsoft.com/office/spreadsheetml/2017/richdata2" ref="G34:H37">
    <sortCondition ref="H37"/>
  </sortState>
  <mergeCells count="2">
    <mergeCell ref="B7:K7"/>
    <mergeCell ref="C26:E30"/>
  </mergeCells>
  <dataValidations count="2">
    <dataValidation type="list" allowBlank="1" showInputMessage="1" showErrorMessage="1" sqref="D37:D38 D40:D41" xr:uid="{21336A0E-8E74-4692-A9FC-761F29135A06}">
      <formula1>$C$53:$C$54</formula1>
    </dataValidation>
    <dataValidation type="list" allowBlank="1" showInputMessage="1" showErrorMessage="1" sqref="G31" xr:uid="{332FF583-E1FD-4984-B821-93C4598DF068}">
      <formula1>#REF!</formula1>
    </dataValidation>
  </dataValidations>
  <pageMargins left="0.7" right="0.7" top="0.75" bottom="0.75" header="0.3" footer="0.3"/>
  <pageSetup paperSize="9" orientation="portrait" r:id="rId1"/>
  <headerFooter>
    <oddHeader>&amp;L&amp;"Calibri"&amp;12&amp;K8E6A00 기밀-Confidential&amp;1#_x000D_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62D5-91B6-4B29-93F3-1C1A9372DAF8}">
  <dimension ref="A1:AD60"/>
  <sheetViews>
    <sheetView showGridLines="0" topLeftCell="A23" zoomScale="115" zoomScaleNormal="115" workbookViewId="0">
      <selection activeCell="J14" sqref="J14"/>
    </sheetView>
  </sheetViews>
  <sheetFormatPr defaultColWidth="9" defaultRowHeight="15"/>
  <cols>
    <col min="1" max="1" width="6.28515625" style="1" customWidth="1"/>
    <col min="2" max="2" width="5.5703125" style="1" customWidth="1"/>
    <col min="3" max="3" width="11.85546875" style="1" customWidth="1"/>
    <col min="4" max="4" width="43" style="1" customWidth="1"/>
    <col min="5" max="6" width="15.7109375" style="1" customWidth="1"/>
    <col min="7" max="10" width="15.7109375" style="3" customWidth="1"/>
    <col min="11" max="11" width="7.42578125" style="3" customWidth="1"/>
    <col min="12" max="12" width="7.42578125" style="1" customWidth="1"/>
    <col min="13" max="25" width="7.7109375" style="1" customWidth="1"/>
    <col min="26" max="16384" width="9" style="1"/>
  </cols>
  <sheetData>
    <row r="1" spans="1:26" s="15" customFormat="1" ht="27" customHeight="1">
      <c r="A1" s="14"/>
      <c r="B1" s="16" t="str">
        <f>title</f>
        <v>Budget impact model of belzutifan as a treatment for Von Hippel Lindau Disease-associated renal cell carcinoma, central nervous system hemangioblastoma, and pancreatic neuroendocrine tumor</v>
      </c>
      <c r="E1" s="16"/>
    </row>
    <row r="2" spans="1:26" ht="24" thickBot="1">
      <c r="A2" s="72" t="s">
        <v>23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16.5" customHeight="1" thickTop="1">
      <c r="A3" s="11"/>
      <c r="B3" s="11"/>
      <c r="C3" s="11"/>
      <c r="D3" s="11"/>
      <c r="E3" s="11"/>
      <c r="F3" s="11"/>
      <c r="G3" s="12"/>
      <c r="H3" s="12"/>
      <c r="I3" s="12"/>
      <c r="J3" s="12"/>
      <c r="K3" s="12"/>
    </row>
    <row r="4" spans="1:26" ht="16.5" customHeight="1" thickBot="1">
      <c r="B4" s="71" t="s">
        <v>24</v>
      </c>
      <c r="C4" s="13"/>
      <c r="D4" s="13"/>
      <c r="E4" s="13"/>
      <c r="F4" s="13"/>
      <c r="G4" s="13"/>
      <c r="H4" s="13"/>
      <c r="I4" s="148"/>
      <c r="L4" s="3"/>
      <c r="M4" s="71" t="s">
        <v>318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6" ht="16.5" customHeight="1" thickTop="1">
      <c r="B5" s="18"/>
      <c r="C5" s="19"/>
      <c r="D5" s="19"/>
      <c r="E5" s="19"/>
      <c r="F5" s="20"/>
      <c r="G5" s="20"/>
      <c r="H5" s="20"/>
      <c r="I5" s="38"/>
      <c r="J5" s="21"/>
      <c r="K5" s="21"/>
      <c r="L5" s="3"/>
      <c r="M5" s="300"/>
      <c r="N5" s="300"/>
      <c r="O5" s="300"/>
      <c r="P5" s="300"/>
      <c r="Q5" s="300"/>
      <c r="R5" s="300"/>
      <c r="S5" s="300"/>
      <c r="T5" s="300"/>
      <c r="U5" s="300"/>
    </row>
    <row r="6" spans="1:26" ht="24.95" customHeight="1">
      <c r="B6" s="22" t="s">
        <v>25</v>
      </c>
      <c r="F6" s="178" t="s">
        <v>20</v>
      </c>
      <c r="G6" s="331" t="s">
        <v>21</v>
      </c>
      <c r="H6" s="332"/>
      <c r="I6"/>
      <c r="J6" s="1"/>
      <c r="K6" s="1"/>
      <c r="L6" s="3"/>
      <c r="M6" s="347" t="s">
        <v>319</v>
      </c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</row>
    <row r="7" spans="1:26" ht="16.5" customHeight="1">
      <c r="C7" s="35" t="s">
        <v>26</v>
      </c>
      <c r="D7" s="35"/>
      <c r="E7" s="35"/>
      <c r="F7" s="246">
        <v>8.0399999999999999E-2</v>
      </c>
      <c r="G7" s="349" t="s">
        <v>27</v>
      </c>
      <c r="H7" s="349"/>
      <c r="I7"/>
      <c r="J7" s="21"/>
      <c r="K7" s="21"/>
      <c r="L7" s="3"/>
      <c r="M7" s="301"/>
      <c r="N7" s="301"/>
      <c r="O7" s="301"/>
      <c r="P7" s="301"/>
      <c r="Q7" s="301"/>
      <c r="R7" s="301"/>
      <c r="S7" s="301"/>
      <c r="T7" s="301"/>
      <c r="U7" s="301"/>
    </row>
    <row r="8" spans="1:26" ht="24.95" customHeight="1">
      <c r="C8" s="24" t="s">
        <v>28</v>
      </c>
      <c r="D8" s="24"/>
      <c r="E8" s="24"/>
      <c r="F8" s="247">
        <v>0.27</v>
      </c>
      <c r="G8" s="349" t="s">
        <v>22</v>
      </c>
      <c r="H8" s="349"/>
      <c r="I8"/>
      <c r="J8" s="21"/>
      <c r="K8" s="21"/>
      <c r="L8" s="3"/>
      <c r="M8" s="345" t="s">
        <v>320</v>
      </c>
      <c r="N8" s="346"/>
      <c r="O8" s="346"/>
      <c r="P8" s="346"/>
      <c r="Q8" s="346"/>
      <c r="R8" s="346"/>
      <c r="S8" s="346"/>
      <c r="T8" s="346"/>
      <c r="U8" s="346"/>
      <c r="V8" s="346"/>
      <c r="W8" s="346"/>
      <c r="X8" s="346"/>
      <c r="Y8" s="346"/>
    </row>
    <row r="9" spans="1:26" ht="30.75" customHeight="1">
      <c r="F9" s="350" t="s">
        <v>29</v>
      </c>
      <c r="G9" s="350"/>
      <c r="H9" s="350"/>
      <c r="I9"/>
      <c r="J9" s="1"/>
      <c r="K9" s="1"/>
      <c r="L9" s="3"/>
      <c r="M9" s="301"/>
      <c r="N9" s="301"/>
      <c r="O9" s="301"/>
      <c r="P9" s="301"/>
      <c r="Q9" s="301"/>
      <c r="R9" s="301"/>
      <c r="S9" s="301"/>
      <c r="T9" s="301"/>
      <c r="U9" s="301"/>
    </row>
    <row r="10" spans="1:26" ht="38.25" customHeight="1">
      <c r="F10" s="351"/>
      <c r="G10" s="351"/>
      <c r="H10" s="351"/>
      <c r="I10" s="326" t="s">
        <v>30</v>
      </c>
      <c r="J10" s="326"/>
      <c r="K10" s="318"/>
      <c r="L10" s="3"/>
      <c r="M10" s="301"/>
      <c r="N10" s="301"/>
      <c r="O10" s="301"/>
      <c r="P10" s="301"/>
      <c r="Q10" s="301"/>
      <c r="R10" s="301"/>
      <c r="S10" s="301"/>
      <c r="T10" s="301"/>
      <c r="U10" s="301"/>
    </row>
    <row r="11" spans="1:26" ht="6" customHeight="1">
      <c r="B11" s="244"/>
      <c r="C11" s="245"/>
      <c r="F11" s="243"/>
      <c r="G11" s="235"/>
      <c r="H11" s="235"/>
      <c r="I11" s="243"/>
      <c r="J11" s="243"/>
      <c r="K11" s="182"/>
      <c r="L11" s="3"/>
      <c r="M11" s="301"/>
      <c r="N11" s="301"/>
      <c r="O11" s="301"/>
      <c r="P11" s="301"/>
      <c r="Q11" s="301"/>
      <c r="R11" s="301"/>
      <c r="S11" s="301"/>
      <c r="T11" s="301"/>
      <c r="U11" s="301"/>
    </row>
    <row r="12" spans="1:26" ht="24.95" customHeight="1">
      <c r="B12" s="22" t="s">
        <v>51</v>
      </c>
      <c r="D12" s="35"/>
      <c r="E12" s="35"/>
      <c r="F12" s="140" t="s">
        <v>20</v>
      </c>
      <c r="G12" s="328" t="s">
        <v>21</v>
      </c>
      <c r="H12" s="328"/>
      <c r="I12" s="243"/>
      <c r="J12" s="255"/>
      <c r="K12" s="266"/>
      <c r="L12" s="266"/>
      <c r="M12" s="354" t="s">
        <v>321</v>
      </c>
      <c r="N12" s="354"/>
      <c r="O12" s="354"/>
      <c r="R12" s="354" t="s">
        <v>322</v>
      </c>
      <c r="S12" s="354"/>
      <c r="T12" s="354"/>
      <c r="W12" s="354" t="s">
        <v>323</v>
      </c>
      <c r="X12" s="354"/>
      <c r="Y12" s="354"/>
    </row>
    <row r="13" spans="1:26" ht="33" customHeight="1">
      <c r="C13" s="35" t="s">
        <v>31</v>
      </c>
      <c r="D13" s="35"/>
      <c r="E13" s="35"/>
      <c r="F13" s="147">
        <f>IF(G13="Yoon SJ 등(2022)","52"%,"30%")</f>
        <v>0.52</v>
      </c>
      <c r="G13" s="327" t="s">
        <v>32</v>
      </c>
      <c r="H13" s="327"/>
      <c r="I13" s="317"/>
      <c r="J13" s="255"/>
      <c r="K13" s="266"/>
      <c r="L13" s="3"/>
      <c r="M13" s="301"/>
      <c r="N13" s="301"/>
      <c r="O13" s="301"/>
      <c r="P13" s="301"/>
      <c r="Q13" s="301"/>
      <c r="R13" s="301"/>
      <c r="S13" s="301"/>
      <c r="T13" s="301"/>
      <c r="U13" s="301"/>
    </row>
    <row r="14" spans="1:26" ht="24.95" customHeight="1">
      <c r="C14" s="24"/>
      <c r="F14" s="24"/>
      <c r="G14" s="26"/>
      <c r="H14" s="26"/>
      <c r="I14"/>
      <c r="J14" s="255"/>
      <c r="K14" s="266"/>
      <c r="L14" s="3"/>
      <c r="M14" s="356" t="s">
        <v>325</v>
      </c>
      <c r="N14" s="356"/>
      <c r="O14" s="356"/>
      <c r="P14" s="356"/>
      <c r="Q14" s="356"/>
      <c r="R14" s="356"/>
      <c r="S14" s="356"/>
      <c r="T14" s="356"/>
      <c r="U14" s="356"/>
      <c r="V14" s="356"/>
      <c r="W14" s="356"/>
      <c r="X14" s="356"/>
      <c r="Y14" s="356"/>
    </row>
    <row r="15" spans="1:26">
      <c r="B15" s="22" t="s">
        <v>52</v>
      </c>
      <c r="D15" s="35"/>
      <c r="E15" s="35"/>
      <c r="F15" s="140" t="s">
        <v>20</v>
      </c>
      <c r="G15" s="328" t="s">
        <v>21</v>
      </c>
      <c r="H15" s="328"/>
      <c r="I15"/>
      <c r="J15" s="255"/>
      <c r="K15" s="266"/>
      <c r="L15" s="266"/>
    </row>
    <row r="16" spans="1:26" ht="24.95" customHeight="1">
      <c r="C16" s="35" t="s">
        <v>33</v>
      </c>
      <c r="D16" s="35"/>
      <c r="E16" s="35"/>
      <c r="F16" s="147">
        <f>IF(G16="Yoon SJ 등(2022)","76"%,"49%")</f>
        <v>0.76</v>
      </c>
      <c r="G16" s="327" t="s">
        <v>32</v>
      </c>
      <c r="H16" s="327"/>
      <c r="I16" s="317"/>
      <c r="J16" s="266"/>
      <c r="K16" s="266"/>
      <c r="L16" s="3"/>
      <c r="M16" s="356" t="s">
        <v>326</v>
      </c>
      <c r="N16" s="356"/>
      <c r="O16" s="356"/>
      <c r="P16" s="356"/>
      <c r="Q16" s="356"/>
      <c r="R16" s="356"/>
      <c r="S16" s="356"/>
      <c r="T16" s="356"/>
      <c r="U16" s="356"/>
      <c r="V16" s="356"/>
      <c r="W16" s="356"/>
      <c r="X16" s="356"/>
      <c r="Y16" s="356"/>
    </row>
    <row r="17" spans="2:30">
      <c r="E17"/>
      <c r="F17"/>
      <c r="G17"/>
      <c r="H17"/>
      <c r="I17"/>
      <c r="K17" s="317"/>
      <c r="L17" s="3"/>
    </row>
    <row r="18" spans="2:30" ht="24.95" customHeight="1">
      <c r="B18" s="22" t="s">
        <v>53</v>
      </c>
      <c r="D18" s="35"/>
      <c r="E18" s="35"/>
      <c r="F18" s="140" t="s">
        <v>20</v>
      </c>
      <c r="G18" s="328" t="s">
        <v>21</v>
      </c>
      <c r="H18" s="328"/>
      <c r="I18"/>
      <c r="K18" s="317"/>
      <c r="L18" s="3"/>
      <c r="M18" s="354" t="s">
        <v>324</v>
      </c>
      <c r="N18" s="354"/>
      <c r="O18" s="354"/>
      <c r="P18" s="301"/>
      <c r="R18" s="354" t="s">
        <v>324</v>
      </c>
      <c r="S18" s="354"/>
      <c r="T18" s="354"/>
      <c r="W18" s="354" t="s">
        <v>324</v>
      </c>
      <c r="X18" s="354"/>
      <c r="Y18" s="354"/>
    </row>
    <row r="19" spans="2:30">
      <c r="C19" s="35" t="s">
        <v>34</v>
      </c>
      <c r="D19" s="35"/>
      <c r="E19" s="35"/>
      <c r="F19" s="147">
        <f>IF(G19="Yoon SJ 등(2022)","8"%,"10%")</f>
        <v>0.08</v>
      </c>
      <c r="G19" s="327" t="s">
        <v>32</v>
      </c>
      <c r="H19" s="327"/>
      <c r="I19" s="317"/>
      <c r="J19" s="266"/>
      <c r="K19" s="317"/>
      <c r="L19" s="3"/>
    </row>
    <row r="20" spans="2:30" ht="16.5" customHeight="1">
      <c r="B20" s="27"/>
      <c r="E20"/>
      <c r="F20"/>
      <c r="G20"/>
      <c r="H20"/>
      <c r="I20"/>
      <c r="K20" s="317"/>
      <c r="L20" s="3"/>
      <c r="M20" s="355" t="s">
        <v>335</v>
      </c>
      <c r="N20" s="355"/>
      <c r="O20" s="355"/>
      <c r="P20" s="355"/>
      <c r="Q20" s="355"/>
      <c r="R20" s="355"/>
      <c r="S20" s="355"/>
      <c r="T20" s="355"/>
      <c r="U20" s="355"/>
      <c r="V20" s="355"/>
      <c r="W20" s="355"/>
      <c r="X20" s="355"/>
      <c r="Y20" s="355"/>
    </row>
    <row r="21" spans="2:30" ht="16.5" customHeight="1">
      <c r="B21" s="22" t="s">
        <v>35</v>
      </c>
      <c r="F21" s="160" t="s">
        <v>20</v>
      </c>
      <c r="G21" s="331" t="s">
        <v>21</v>
      </c>
      <c r="H21" s="332"/>
      <c r="I21"/>
      <c r="J21" s="1"/>
      <c r="K21" s="1"/>
      <c r="L21" s="3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</row>
    <row r="22" spans="2:30" ht="16.149999999999999" customHeight="1">
      <c r="C22" s="24" t="s">
        <v>36</v>
      </c>
      <c r="D22" s="24"/>
      <c r="E22" s="27"/>
      <c r="F22" s="28">
        <f>Reference!$F$56</f>
        <v>0.65327510917030585</v>
      </c>
      <c r="G22" s="329" t="s">
        <v>287</v>
      </c>
      <c r="H22" s="330"/>
      <c r="I22" s="264"/>
      <c r="J22" s="255"/>
      <c r="K22" s="1"/>
      <c r="L22" s="3"/>
    </row>
    <row r="23" spans="2:30" ht="16.5" customHeight="1">
      <c r="I23"/>
      <c r="J23" s="1"/>
      <c r="K23" s="1"/>
      <c r="L23" s="3"/>
    </row>
    <row r="24" spans="2:30">
      <c r="B24" s="22" t="s">
        <v>369</v>
      </c>
      <c r="C24" s="245"/>
      <c r="F24" s="140" t="s">
        <v>20</v>
      </c>
      <c r="G24" s="328" t="s">
        <v>21</v>
      </c>
      <c r="H24" s="328"/>
      <c r="I24"/>
      <c r="J24" s="1"/>
      <c r="K24" s="1"/>
      <c r="L24" s="3"/>
      <c r="M24" s="302"/>
      <c r="N24" s="302"/>
      <c r="O24" s="302"/>
      <c r="P24" s="302"/>
      <c r="Q24" s="302"/>
      <c r="R24" s="302"/>
      <c r="S24" s="302"/>
      <c r="T24" s="302"/>
      <c r="U24" s="302"/>
      <c r="V24" s="302"/>
      <c r="W24" s="302"/>
    </row>
    <row r="25" spans="2:30" ht="23.45" customHeight="1" thickBot="1">
      <c r="E25" s="263"/>
      <c r="F25" s="316">
        <v>0.35</v>
      </c>
      <c r="G25" s="329" t="s">
        <v>273</v>
      </c>
      <c r="H25" s="330"/>
      <c r="I25" s="252"/>
      <c r="J25" s="1"/>
      <c r="K25" s="1"/>
      <c r="L25" s="3"/>
      <c r="M25" s="71" t="s">
        <v>327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2:30" ht="16.5" customHeight="1" thickTop="1">
      <c r="B26" s="27"/>
      <c r="F26" s="3"/>
      <c r="H26" s="7"/>
      <c r="I26" s="7"/>
      <c r="J26" s="1"/>
      <c r="K26" s="1"/>
      <c r="L26" s="3"/>
    </row>
    <row r="27" spans="2:30">
      <c r="B27" s="22" t="s">
        <v>334</v>
      </c>
      <c r="F27" s="140" t="s">
        <v>20</v>
      </c>
      <c r="G27" s="328" t="s">
        <v>21</v>
      </c>
      <c r="H27" s="328"/>
      <c r="I27"/>
      <c r="J27" s="1"/>
      <c r="K27" s="1"/>
      <c r="L27" s="3"/>
      <c r="M27" s="354" t="s">
        <v>329</v>
      </c>
      <c r="N27" s="354"/>
      <c r="O27" s="354"/>
      <c r="R27" s="354" t="s">
        <v>328</v>
      </c>
      <c r="S27" s="354"/>
      <c r="T27" s="354"/>
    </row>
    <row r="28" spans="2:30" ht="17.45" customHeight="1">
      <c r="C28" s="24" t="s">
        <v>37</v>
      </c>
      <c r="D28" s="24"/>
      <c r="E28" s="271" t="s">
        <v>288</v>
      </c>
      <c r="F28" s="25">
        <v>0.93442622950819676</v>
      </c>
      <c r="G28" s="352" t="s">
        <v>38</v>
      </c>
      <c r="H28" s="352"/>
      <c r="I28"/>
      <c r="K28" s="1"/>
      <c r="L28" s="3"/>
    </row>
    <row r="29" spans="2:30" ht="16.5" customHeight="1">
      <c r="B29" s="27"/>
      <c r="E29" s="271" t="s">
        <v>289</v>
      </c>
      <c r="F29" s="25">
        <v>0.86885245901639341</v>
      </c>
      <c r="G29" s="352"/>
      <c r="H29" s="352"/>
      <c r="K29" s="1"/>
      <c r="L29" s="3"/>
      <c r="AB29" s="4"/>
      <c r="AC29" s="5"/>
      <c r="AD29" s="5"/>
    </row>
    <row r="30" spans="2:30" ht="16.5" customHeight="1" thickBot="1">
      <c r="B30" s="71" t="s">
        <v>23</v>
      </c>
      <c r="C30" s="13"/>
      <c r="D30" s="13"/>
      <c r="E30" s="265"/>
      <c r="F30" s="13"/>
      <c r="G30" s="13"/>
      <c r="H30" s="13"/>
      <c r="I30" s="148"/>
      <c r="L30" s="3"/>
      <c r="P30" s="354" t="s">
        <v>332</v>
      </c>
      <c r="Q30" s="354"/>
      <c r="R30" s="354"/>
      <c r="T30" s="354" t="s">
        <v>330</v>
      </c>
      <c r="U30" s="354"/>
      <c r="V30" s="354"/>
      <c r="AB30" s="4"/>
      <c r="AC30" s="5"/>
      <c r="AD30" s="5"/>
    </row>
    <row r="31" spans="2:30" ht="16.5" customHeight="1" thickTop="1">
      <c r="B31" s="18"/>
      <c r="C31" s="19"/>
      <c r="D31" s="19"/>
      <c r="E31" s="19"/>
      <c r="F31" s="19" t="s">
        <v>282</v>
      </c>
      <c r="G31" s="20"/>
      <c r="H31" s="276"/>
      <c r="I31" s="38"/>
      <c r="L31" s="3"/>
      <c r="AB31" s="4"/>
      <c r="AC31" s="5"/>
      <c r="AD31" s="5"/>
    </row>
    <row r="32" spans="2:30" ht="16.5" customHeight="1">
      <c r="B32" s="185"/>
      <c r="C32" s="190" t="s">
        <v>39</v>
      </c>
      <c r="D32" s="34"/>
      <c r="E32" s="34"/>
      <c r="F32" s="277"/>
      <c r="G32" s="38"/>
      <c r="H32" s="38"/>
      <c r="I32" s="38"/>
      <c r="L32" s="3"/>
      <c r="P32" s="354" t="s">
        <v>324</v>
      </c>
      <c r="Q32" s="354"/>
      <c r="R32" s="354"/>
      <c r="X32" s="353" t="s">
        <v>333</v>
      </c>
      <c r="Y32" s="353"/>
      <c r="AB32" s="4"/>
      <c r="AC32" s="5"/>
      <c r="AD32" s="5"/>
    </row>
    <row r="33" spans="1:30" ht="16.5" customHeight="1">
      <c r="B33" s="185"/>
      <c r="C33" s="43" t="s">
        <v>40</v>
      </c>
      <c r="D33" s="34"/>
      <c r="E33" s="34"/>
      <c r="F33" s="34"/>
      <c r="G33" s="38"/>
      <c r="H33" s="38"/>
      <c r="I33" s="38"/>
      <c r="AB33" s="4"/>
      <c r="AC33" s="5"/>
      <c r="AD33" s="5"/>
    </row>
    <row r="34" spans="1:30" ht="16.5" customHeight="1">
      <c r="C34" s="195" t="s">
        <v>41</v>
      </c>
      <c r="D34" s="195"/>
      <c r="E34" s="331" t="s">
        <v>284</v>
      </c>
      <c r="F34" s="332"/>
      <c r="G34" s="331" t="s">
        <v>285</v>
      </c>
      <c r="H34" s="332"/>
      <c r="I34" s="331" t="s">
        <v>286</v>
      </c>
      <c r="J34" s="332"/>
      <c r="K34" s="1"/>
      <c r="M34" s="354" t="s">
        <v>331</v>
      </c>
      <c r="N34" s="354"/>
      <c r="O34" s="354"/>
      <c r="P34" s="354"/>
      <c r="Q34" s="354"/>
      <c r="R34" s="354"/>
      <c r="S34" s="354"/>
      <c r="T34" s="354"/>
      <c r="U34" s="354"/>
      <c r="V34" s="354"/>
      <c r="W34" s="354"/>
      <c r="X34" s="354"/>
      <c r="Y34" s="354"/>
      <c r="AB34" s="4"/>
      <c r="AC34" s="5"/>
      <c r="AD34" s="5"/>
    </row>
    <row r="35" spans="1:30" ht="16.5" customHeight="1">
      <c r="C35" s="195"/>
      <c r="D35" s="195"/>
      <c r="E35" s="140" t="s">
        <v>42</v>
      </c>
      <c r="F35" s="140" t="s">
        <v>43</v>
      </c>
      <c r="G35" s="140" t="s">
        <v>42</v>
      </c>
      <c r="H35" s="140" t="s">
        <v>269</v>
      </c>
      <c r="I35" s="140" t="s">
        <v>42</v>
      </c>
      <c r="J35" s="140" t="s">
        <v>269</v>
      </c>
      <c r="K35" s="1"/>
      <c r="M35" s="254"/>
      <c r="N35" s="270"/>
      <c r="AB35" s="4"/>
      <c r="AC35" s="5"/>
      <c r="AD35" s="5"/>
    </row>
    <row r="36" spans="1:30" ht="16.5" customHeight="1">
      <c r="C36" s="333" t="s">
        <v>44</v>
      </c>
      <c r="D36" s="334"/>
      <c r="E36" s="31">
        <v>429</v>
      </c>
      <c r="F36" s="193" t="s">
        <v>283</v>
      </c>
      <c r="G36" s="31">
        <f>Setting!H46-Setting!H45</f>
        <v>34.498672186748308</v>
      </c>
      <c r="H36" s="31">
        <f>E36-E59</f>
        <v>296</v>
      </c>
      <c r="I36" s="31">
        <f>Setting!H47-Setting!H46</f>
        <v>37.27214634592201</v>
      </c>
      <c r="J36" s="31">
        <f>SUM(G36:H36)-SUM(G54:H54)</f>
        <v>314.49867218674831</v>
      </c>
      <c r="M36" s="254"/>
      <c r="N36" s="270"/>
      <c r="X36" s="5"/>
      <c r="Y36" s="5"/>
      <c r="Z36" s="5"/>
      <c r="AA36" s="5"/>
      <c r="AB36" s="4"/>
      <c r="AC36" s="5"/>
      <c r="AD36" s="5"/>
    </row>
    <row r="37" spans="1:30" ht="16.5" customHeight="1">
      <c r="C37" s="279" t="s">
        <v>45</v>
      </c>
      <c r="D37" s="32" t="s">
        <v>46</v>
      </c>
      <c r="E37" s="280">
        <f>E36*$F$13</f>
        <v>223.08</v>
      </c>
      <c r="F37" s="192"/>
      <c r="G37" s="29">
        <f>G36*$F$13</f>
        <v>17.939309537109121</v>
      </c>
      <c r="H37" s="29">
        <f>H36*$F$13</f>
        <v>153.92000000000002</v>
      </c>
      <c r="I37" s="29">
        <f>I36*$F$13</f>
        <v>19.381516099879445</v>
      </c>
      <c r="J37" s="29">
        <f>J36*$F$13</f>
        <v>163.53930953710912</v>
      </c>
      <c r="K37" s="5"/>
      <c r="M37" s="254"/>
    </row>
    <row r="38" spans="1:30" ht="16.5" customHeight="1">
      <c r="C38" s="279" t="s">
        <v>47</v>
      </c>
      <c r="D38" s="282" t="s">
        <v>275</v>
      </c>
      <c r="E38" s="280">
        <f>E36*$F$16</f>
        <v>326.04000000000002</v>
      </c>
      <c r="F38" s="192"/>
      <c r="G38" s="29">
        <f>G36*$F$16</f>
        <v>26.218990861928713</v>
      </c>
      <c r="H38" s="29">
        <f>H36*$F$16</f>
        <v>224.96</v>
      </c>
      <c r="I38" s="29">
        <f>I36*$F$16</f>
        <v>28.326831222900729</v>
      </c>
      <c r="J38" s="29">
        <f>J36*$F$16</f>
        <v>239.01899086192873</v>
      </c>
      <c r="K38" s="1"/>
      <c r="M38" s="254"/>
    </row>
    <row r="39" spans="1:30" ht="16.5" customHeight="1">
      <c r="C39" s="279" t="s">
        <v>48</v>
      </c>
      <c r="D39" s="281" t="s">
        <v>276</v>
      </c>
      <c r="E39" s="280">
        <f>E36*$F$19</f>
        <v>34.32</v>
      </c>
      <c r="F39" s="192"/>
      <c r="G39" s="29">
        <f>G36*$F$19</f>
        <v>2.7598937749398647</v>
      </c>
      <c r="H39" s="29">
        <f>H36*$F$19</f>
        <v>23.68</v>
      </c>
      <c r="I39" s="29">
        <f>I36*$F$19</f>
        <v>2.9817717076737611</v>
      </c>
      <c r="J39" s="29">
        <f>J36*$F$19</f>
        <v>25.159893774939864</v>
      </c>
      <c r="K39" s="1"/>
      <c r="M39" s="254"/>
    </row>
    <row r="40" spans="1:30" ht="16.5" customHeight="1">
      <c r="C40" s="339" t="s">
        <v>277</v>
      </c>
      <c r="D40" s="340"/>
      <c r="E40" s="31">
        <f>ROUND(SUM(E37:E39),0)</f>
        <v>583</v>
      </c>
      <c r="F40" s="193"/>
      <c r="G40" s="31">
        <f>ROUND(SUM(G37:G39),0)</f>
        <v>47</v>
      </c>
      <c r="H40" s="31">
        <f>ROUND(SUM(H37:H39),0)</f>
        <v>403</v>
      </c>
      <c r="I40" s="31">
        <f>ROUND(SUM(I37:I39),0)</f>
        <v>51</v>
      </c>
      <c r="J40" s="31">
        <f>ROUND(SUM(J37:J39),0)</f>
        <v>428</v>
      </c>
      <c r="K40" s="1"/>
      <c r="AB40" s="4"/>
      <c r="AC40" s="5"/>
      <c r="AD40" s="5"/>
    </row>
    <row r="41" spans="1:30" ht="16.5" customHeight="1">
      <c r="C41" s="32" t="s">
        <v>295</v>
      </c>
      <c r="E41" s="269">
        <f>ROUND(E40*$F$22,0)</f>
        <v>381</v>
      </c>
      <c r="F41" s="192"/>
      <c r="G41" s="269">
        <f>ROUND(G40*$F$22,0)</f>
        <v>31</v>
      </c>
      <c r="H41" s="269">
        <f>ROUND(H40*$F$22,0)</f>
        <v>263</v>
      </c>
      <c r="I41" s="269">
        <f>ROUND(I40*$F$22,0)</f>
        <v>33</v>
      </c>
      <c r="J41" s="269">
        <f>ROUND(J40*$F$22,0)</f>
        <v>280</v>
      </c>
      <c r="K41" s="1"/>
    </row>
    <row r="42" spans="1:30" ht="16.5" customHeight="1">
      <c r="C42" s="30" t="s">
        <v>296</v>
      </c>
      <c r="D42" s="256"/>
      <c r="E42" s="193"/>
      <c r="F42" s="193"/>
      <c r="G42" s="193"/>
      <c r="H42" s="31">
        <f>ROUND(H41*Reference!$E$34,0)</f>
        <v>14</v>
      </c>
      <c r="I42" s="193"/>
      <c r="J42" s="31">
        <f>ROUND(J41*Reference!$E$34,0)</f>
        <v>15</v>
      </c>
      <c r="K42" s="1"/>
      <c r="AB42" s="4"/>
      <c r="AC42" s="5"/>
      <c r="AD42" s="5"/>
    </row>
    <row r="43" spans="1:30" ht="16.5" customHeight="1">
      <c r="C43" s="333" t="s">
        <v>278</v>
      </c>
      <c r="D43" s="341"/>
      <c r="E43" s="31">
        <f>ROUND(E41*$F$25,0)</f>
        <v>133</v>
      </c>
      <c r="F43" s="193"/>
      <c r="G43" s="31">
        <f>ROUND(G41*$F$25,0)</f>
        <v>11</v>
      </c>
      <c r="H43" s="31">
        <f>ROUND(H42*$F$25,0)</f>
        <v>5</v>
      </c>
      <c r="I43" s="31">
        <f>ROUND(I41*$F$25,0)</f>
        <v>12</v>
      </c>
      <c r="J43" s="31">
        <f>ROUND(J42*$F$25,0)</f>
        <v>5</v>
      </c>
      <c r="K43" s="1"/>
      <c r="AB43" s="4"/>
      <c r="AC43" s="5"/>
      <c r="AD43" s="5"/>
    </row>
    <row r="44" spans="1:30" ht="16.899999999999999" customHeight="1">
      <c r="A44" s="33"/>
      <c r="B44" s="33"/>
      <c r="E44" s="226"/>
      <c r="F44" s="270"/>
      <c r="J44" s="263"/>
      <c r="K44" s="1"/>
      <c r="L44" s="3"/>
    </row>
    <row r="45" spans="1:30" ht="15.6" customHeight="1">
      <c r="A45" s="33"/>
      <c r="B45" s="33"/>
      <c r="C45" s="190" t="s">
        <v>49</v>
      </c>
    </row>
    <row r="46" spans="1:30" ht="15.6" customHeight="1">
      <c r="A46" s="33"/>
      <c r="B46" s="33"/>
      <c r="C46" s="185" t="s">
        <v>50</v>
      </c>
      <c r="D46" s="189"/>
      <c r="E46" s="187"/>
      <c r="F46" s="189"/>
      <c r="G46" s="189"/>
      <c r="H46" s="189"/>
      <c r="I46" s="189"/>
      <c r="J46" s="189"/>
      <c r="K46" s="1"/>
    </row>
    <row r="47" spans="1:30" ht="15.6" customHeight="1">
      <c r="A47" s="33"/>
      <c r="B47" s="33"/>
      <c r="C47" s="195" t="s">
        <v>41</v>
      </c>
      <c r="D47" s="195"/>
      <c r="E47" s="331" t="str">
        <f>E34</f>
        <v>2027년(1차년도)</v>
      </c>
      <c r="F47" s="332"/>
      <c r="G47" s="331" t="str">
        <f t="shared" ref="G47" si="0">G34</f>
        <v>2028년(2차년도)</v>
      </c>
      <c r="H47" s="332"/>
      <c r="I47" s="331" t="str">
        <f t="shared" ref="I47" si="1">I34</f>
        <v>2029년(3차년도)</v>
      </c>
      <c r="J47" s="332"/>
      <c r="K47" s="1"/>
    </row>
    <row r="48" spans="1:30" ht="15.6" customHeight="1">
      <c r="A48" s="33"/>
      <c r="B48" s="33"/>
      <c r="C48" s="195"/>
      <c r="D48" s="195"/>
      <c r="E48" s="140" t="s">
        <v>42</v>
      </c>
      <c r="F48" s="140" t="s">
        <v>43</v>
      </c>
      <c r="G48" s="140" t="s">
        <v>42</v>
      </c>
      <c r="H48" s="140" t="s">
        <v>43</v>
      </c>
      <c r="I48" s="140" t="s">
        <v>42</v>
      </c>
      <c r="J48" s="140" t="s">
        <v>43</v>
      </c>
      <c r="K48" s="1"/>
    </row>
    <row r="49" spans="1:11" ht="24.95" customHeight="1">
      <c r="A49" s="33"/>
      <c r="B49" s="33"/>
      <c r="C49" s="342" t="s">
        <v>279</v>
      </c>
      <c r="D49" s="342"/>
      <c r="E49" s="194"/>
      <c r="F49" s="183">
        <v>0</v>
      </c>
      <c r="G49" s="194"/>
      <c r="H49" s="183">
        <f>E59*$F$28</f>
        <v>124.27868852459017</v>
      </c>
      <c r="I49" s="194"/>
      <c r="J49" s="183">
        <f>E59*$F$29+SUM(G54:H54)*$F$28</f>
        <v>130.50819672131146</v>
      </c>
      <c r="K49" s="1"/>
    </row>
    <row r="50" spans="1:11" ht="17.45" customHeight="1">
      <c r="A50" s="33"/>
      <c r="B50" s="33"/>
      <c r="C50" s="191"/>
      <c r="D50" s="186"/>
      <c r="E50" s="191"/>
      <c r="F50" s="186"/>
      <c r="G50" s="186"/>
      <c r="H50" s="186"/>
      <c r="I50" s="186"/>
      <c r="J50" s="186"/>
      <c r="K50" s="1"/>
    </row>
    <row r="51" spans="1:11" ht="15.6" customHeight="1">
      <c r="A51" s="33"/>
      <c r="B51" s="33"/>
      <c r="C51" s="185" t="s">
        <v>271</v>
      </c>
      <c r="K51" s="1"/>
    </row>
    <row r="52" spans="1:11" ht="24.95" customHeight="1">
      <c r="A52" s="33"/>
      <c r="B52" s="33"/>
      <c r="C52" s="195" t="s">
        <v>41</v>
      </c>
      <c r="D52" s="195"/>
      <c r="E52" s="331" t="str">
        <f>E34</f>
        <v>2027년(1차년도)</v>
      </c>
      <c r="F52" s="332"/>
      <c r="G52" s="331" t="str">
        <f>G34</f>
        <v>2028년(2차년도)</v>
      </c>
      <c r="H52" s="332"/>
      <c r="I52" s="331" t="str">
        <f>I34</f>
        <v>2029년(3차년도)</v>
      </c>
      <c r="J52" s="332"/>
      <c r="K52" s="1"/>
    </row>
    <row r="53" spans="1:11">
      <c r="A53" s="33"/>
      <c r="B53" s="33"/>
      <c r="C53" s="195"/>
      <c r="D53" s="195"/>
      <c r="E53" s="140" t="s">
        <v>42</v>
      </c>
      <c r="F53" s="140" t="s">
        <v>269</v>
      </c>
      <c r="G53" s="140" t="s">
        <v>42</v>
      </c>
      <c r="H53" s="140" t="s">
        <v>269</v>
      </c>
      <c r="I53" s="140" t="s">
        <v>42</v>
      </c>
      <c r="J53" s="140" t="s">
        <v>269</v>
      </c>
      <c r="K53" s="1"/>
    </row>
    <row r="54" spans="1:11" ht="24.95" customHeight="1">
      <c r="A54" s="33"/>
      <c r="B54" s="33"/>
      <c r="C54" s="342" t="s">
        <v>280</v>
      </c>
      <c r="D54" s="342"/>
      <c r="E54" s="194"/>
      <c r="F54" s="183">
        <v>0</v>
      </c>
      <c r="G54" s="183">
        <f>G43</f>
        <v>11</v>
      </c>
      <c r="H54" s="183">
        <f>H43</f>
        <v>5</v>
      </c>
      <c r="I54" s="183">
        <f>I43</f>
        <v>12</v>
      </c>
      <c r="J54" s="183">
        <f>J43</f>
        <v>5</v>
      </c>
      <c r="K54" s="1"/>
    </row>
    <row r="55" spans="1:11" ht="24.95" customHeight="1">
      <c r="A55" s="33"/>
      <c r="B55" s="33"/>
      <c r="C55" s="325" t="s">
        <v>281</v>
      </c>
      <c r="D55" s="325"/>
      <c r="E55" s="262"/>
      <c r="F55" s="262"/>
      <c r="G55" s="262"/>
      <c r="H55" s="262"/>
      <c r="I55" s="262"/>
      <c r="J55" s="262"/>
      <c r="K55" s="1"/>
    </row>
    <row r="56" spans="1:11" ht="15.75" customHeight="1">
      <c r="K56" s="1"/>
    </row>
    <row r="57" spans="1:11" ht="15" customHeight="1">
      <c r="C57" s="185" t="s">
        <v>270</v>
      </c>
      <c r="D57" s="189"/>
      <c r="E57" s="187"/>
      <c r="F57" s="189"/>
      <c r="G57" s="189"/>
      <c r="H57" s="189"/>
      <c r="I57" s="189"/>
      <c r="J57" s="189"/>
      <c r="K57" s="1"/>
    </row>
    <row r="58" spans="1:11" ht="34.15" customHeight="1">
      <c r="C58" s="343" t="s">
        <v>41</v>
      </c>
      <c r="D58" s="344"/>
      <c r="E58" s="331" t="str">
        <f>E34</f>
        <v>2027년(1차년도)</v>
      </c>
      <c r="F58" s="332"/>
      <c r="G58" s="331" t="str">
        <f>G34</f>
        <v>2028년(2차년도)</v>
      </c>
      <c r="H58" s="332"/>
      <c r="I58" s="331" t="str">
        <f>I34</f>
        <v>2029년(3차년도)</v>
      </c>
      <c r="J58" s="332"/>
      <c r="K58" s="1"/>
    </row>
    <row r="59" spans="1:11" ht="34.15" customHeight="1">
      <c r="C59" s="335" t="s">
        <v>268</v>
      </c>
      <c r="D59" s="336"/>
      <c r="E59" s="337">
        <f>ROUND(SUM(E43,F49),0)</f>
        <v>133</v>
      </c>
      <c r="F59" s="338"/>
      <c r="G59" s="337">
        <f>ROUND(SUM(G54,H54,H49),0)</f>
        <v>140</v>
      </c>
      <c r="H59" s="338"/>
      <c r="I59" s="337">
        <f>ROUND(SUM(I54,J54,J49),0)</f>
        <v>148</v>
      </c>
      <c r="J59" s="338"/>
      <c r="K59" s="1"/>
    </row>
    <row r="60" spans="1:11" ht="34.15" customHeight="1">
      <c r="G60" s="1"/>
      <c r="H60" s="1"/>
      <c r="I60" s="1"/>
      <c r="J60" s="1"/>
      <c r="K60" s="1"/>
    </row>
  </sheetData>
  <mergeCells count="58">
    <mergeCell ref="M27:O27"/>
    <mergeCell ref="P32:R32"/>
    <mergeCell ref="M12:O12"/>
    <mergeCell ref="R12:T12"/>
    <mergeCell ref="W12:Y12"/>
    <mergeCell ref="M18:O18"/>
    <mergeCell ref="R18:T18"/>
    <mergeCell ref="W18:Y18"/>
    <mergeCell ref="R27:T27"/>
    <mergeCell ref="P30:R30"/>
    <mergeCell ref="T30:V30"/>
    <mergeCell ref="M20:Y21"/>
    <mergeCell ref="M16:Y16"/>
    <mergeCell ref="M14:Y14"/>
    <mergeCell ref="M8:Y8"/>
    <mergeCell ref="M6:Y6"/>
    <mergeCell ref="I58:J58"/>
    <mergeCell ref="E47:F47"/>
    <mergeCell ref="G27:H27"/>
    <mergeCell ref="G6:H6"/>
    <mergeCell ref="G7:H7"/>
    <mergeCell ref="G15:H15"/>
    <mergeCell ref="E34:F34"/>
    <mergeCell ref="F9:H10"/>
    <mergeCell ref="G28:H29"/>
    <mergeCell ref="G34:H34"/>
    <mergeCell ref="I34:J34"/>
    <mergeCell ref="G8:H8"/>
    <mergeCell ref="X32:Y32"/>
    <mergeCell ref="M34:Y34"/>
    <mergeCell ref="C59:D59"/>
    <mergeCell ref="E59:F59"/>
    <mergeCell ref="G59:H59"/>
    <mergeCell ref="I59:J59"/>
    <mergeCell ref="C40:D40"/>
    <mergeCell ref="C43:D43"/>
    <mergeCell ref="G47:H47"/>
    <mergeCell ref="I47:J47"/>
    <mergeCell ref="C49:D49"/>
    <mergeCell ref="C58:D58"/>
    <mergeCell ref="E58:F58"/>
    <mergeCell ref="G58:H58"/>
    <mergeCell ref="E52:F52"/>
    <mergeCell ref="G52:H52"/>
    <mergeCell ref="I52:J52"/>
    <mergeCell ref="C54:D54"/>
    <mergeCell ref="C55:D55"/>
    <mergeCell ref="I10:J10"/>
    <mergeCell ref="G16:H16"/>
    <mergeCell ref="G18:H18"/>
    <mergeCell ref="G25:H25"/>
    <mergeCell ref="G24:H24"/>
    <mergeCell ref="G21:H21"/>
    <mergeCell ref="G22:H22"/>
    <mergeCell ref="G12:H12"/>
    <mergeCell ref="G13:H13"/>
    <mergeCell ref="G19:H19"/>
    <mergeCell ref="C36:D36"/>
  </mergeCells>
  <dataValidations count="1">
    <dataValidation type="list" allowBlank="1" showInputMessage="1" showErrorMessage="1" sqref="G13:H13 G16:H16 G19:H19" xr:uid="{C0042851-50B9-49DF-987A-B55FA7C4B0AB}">
      <formula1>"Yoon SJ 등(2022),  Binderup ML등(2013)"</formula1>
    </dataValidation>
  </dataValidations>
  <pageMargins left="0.7" right="0.7" top="0.75" bottom="0.75" header="0.3" footer="0.3"/>
  <pageSetup paperSize="9" orientation="portrait" r:id="rId1"/>
  <headerFooter>
    <oddHeader>&amp;L&amp;"Calibri"&amp;12&amp;K8E6A00 기밀-Confidential&amp;1#_x000D_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880B-B1B8-4463-A995-BD0EAEB145FB}">
  <dimension ref="A1:X30"/>
  <sheetViews>
    <sheetView showGridLines="0" tabSelected="1" zoomScale="115" zoomScaleNormal="115" workbookViewId="0">
      <selection activeCell="G20" sqref="G20"/>
    </sheetView>
  </sheetViews>
  <sheetFormatPr defaultColWidth="9" defaultRowHeight="15"/>
  <cols>
    <col min="1" max="1" width="6.5703125" style="97" customWidth="1"/>
    <col min="2" max="2" width="15.28515625" style="97" customWidth="1"/>
    <col min="3" max="4" width="14.85546875" style="97" customWidth="1"/>
    <col min="5" max="5" width="13.28515625" style="97" customWidth="1"/>
    <col min="6" max="11" width="17.28515625" style="97" customWidth="1"/>
    <col min="12" max="12" width="18.42578125" style="97" customWidth="1"/>
    <col min="13" max="13" width="17" style="97" customWidth="1"/>
    <col min="14" max="14" width="13.42578125" style="97" customWidth="1"/>
    <col min="15" max="15" width="16.5703125" style="97" customWidth="1"/>
    <col min="16" max="16384" width="9" style="97"/>
  </cols>
  <sheetData>
    <row r="1" spans="1:24" s="86" customFormat="1" ht="27" customHeight="1">
      <c r="A1" s="84"/>
      <c r="B1" s="85" t="str">
        <f>title</f>
        <v>Budget impact model of belzutifan as a treatment for Von Hippel Lindau Disease-associated renal cell carcinoma, central nervous system hemangioblastoma, and pancreatic neuroendocrine tumor</v>
      </c>
      <c r="E1" s="85"/>
    </row>
    <row r="3" spans="1:24" ht="24" thickBot="1">
      <c r="A3" s="100" t="s">
        <v>98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</row>
    <row r="4" spans="1:24" ht="16.5" thickTop="1" thickBot="1"/>
    <row r="5" spans="1:24">
      <c r="B5" s="102"/>
      <c r="C5" s="103"/>
      <c r="D5" s="103"/>
      <c r="E5" s="103"/>
      <c r="F5" s="103"/>
      <c r="G5" s="111"/>
    </row>
    <row r="6" spans="1:24" ht="21.75" thickBot="1">
      <c r="B6" s="104"/>
      <c r="C6" s="105" t="s">
        <v>99</v>
      </c>
      <c r="D6" s="105"/>
      <c r="E6" s="106"/>
      <c r="F6" s="106"/>
      <c r="G6" s="115"/>
    </row>
    <row r="7" spans="1:24">
      <c r="B7" s="104"/>
      <c r="C7" s="112" t="s">
        <v>100</v>
      </c>
      <c r="D7" s="112"/>
      <c r="E7" s="113"/>
      <c r="F7" s="113"/>
      <c r="G7" s="114"/>
    </row>
    <row r="8" spans="1:24">
      <c r="B8" s="104"/>
      <c r="C8" s="113"/>
      <c r="D8" s="113"/>
      <c r="E8" s="214" t="s">
        <v>101</v>
      </c>
      <c r="F8" s="215">
        <v>195475</v>
      </c>
      <c r="G8" s="248"/>
      <c r="I8" s="223"/>
    </row>
    <row r="9" spans="1:24">
      <c r="B9" s="104"/>
      <c r="C9" s="113"/>
      <c r="D9" s="113"/>
      <c r="E9" s="214" t="s">
        <v>102</v>
      </c>
      <c r="F9" s="220">
        <v>0.2</v>
      </c>
      <c r="G9" s="115"/>
      <c r="H9" s="238"/>
      <c r="I9" s="249"/>
    </row>
    <row r="10" spans="1:24">
      <c r="B10" s="104"/>
      <c r="C10" s="113"/>
      <c r="D10" s="113"/>
      <c r="E10" s="214" t="s">
        <v>57</v>
      </c>
      <c r="F10" s="221">
        <f>ROUNDDOWN(F8*(1-F9),0)</f>
        <v>156380</v>
      </c>
      <c r="G10" s="115"/>
    </row>
    <row r="11" spans="1:24" ht="15.75" thickBot="1">
      <c r="B11" s="107"/>
      <c r="C11" s="108"/>
      <c r="D11" s="108"/>
      <c r="E11" s="108"/>
      <c r="F11" s="108"/>
      <c r="G11" s="116"/>
    </row>
    <row r="12" spans="1:24">
      <c r="H12" s="88"/>
      <c r="I12" s="88"/>
      <c r="J12" s="88"/>
      <c r="K12" s="88"/>
      <c r="L12" s="87"/>
      <c r="M12" s="87"/>
      <c r="N12" s="87"/>
    </row>
    <row r="13" spans="1:24" s="87" customFormat="1" ht="16.5" customHeight="1" thickBot="1">
      <c r="B13" s="89" t="s">
        <v>103</v>
      </c>
      <c r="C13" s="89"/>
      <c r="D13" s="89"/>
      <c r="E13" s="89" t="s">
        <v>317</v>
      </c>
      <c r="F13" s="89"/>
      <c r="G13" s="89"/>
      <c r="H13" s="89"/>
      <c r="I13" s="89"/>
      <c r="J13" s="89"/>
      <c r="K13" s="89"/>
      <c r="L13" s="89"/>
      <c r="M13" s="89"/>
      <c r="N13" s="88"/>
    </row>
    <row r="14" spans="1:24" ht="15.75" thickTop="1"/>
    <row r="15" spans="1:24" ht="15" customHeight="1">
      <c r="B15" s="225" t="s">
        <v>104</v>
      </c>
      <c r="C15" s="357" t="s">
        <v>105</v>
      </c>
      <c r="D15" s="358" t="s">
        <v>106</v>
      </c>
      <c r="E15" s="357" t="s">
        <v>107</v>
      </c>
      <c r="F15" s="99" t="s">
        <v>108</v>
      </c>
      <c r="G15" s="99" t="s">
        <v>109</v>
      </c>
      <c r="H15" s="99" t="s">
        <v>109</v>
      </c>
      <c r="I15" s="99" t="s">
        <v>110</v>
      </c>
      <c r="J15" s="99" t="s">
        <v>111</v>
      </c>
      <c r="K15" s="99" t="s">
        <v>112</v>
      </c>
      <c r="L15" s="99" t="s">
        <v>113</v>
      </c>
    </row>
    <row r="16" spans="1:24" ht="25.5" customHeight="1">
      <c r="B16" s="233" t="str">
        <f>MID(Ref_하나은행!A3,6,25)</f>
        <v xml:space="preserve"> 2023-02-28 ~ 2025-02-28 </v>
      </c>
      <c r="C16" s="357"/>
      <c r="D16" s="359"/>
      <c r="E16" s="357"/>
      <c r="F16" s="99" t="s">
        <v>114</v>
      </c>
      <c r="G16" s="99" t="s">
        <v>114</v>
      </c>
      <c r="H16" s="99" t="s">
        <v>115</v>
      </c>
      <c r="I16" s="99" t="s">
        <v>116</v>
      </c>
      <c r="J16" s="228">
        <v>0.1</v>
      </c>
      <c r="K16" s="229">
        <v>8.6900000000000005E-2</v>
      </c>
      <c r="L16" s="99" t="s">
        <v>115</v>
      </c>
    </row>
    <row r="17" spans="2:14">
      <c r="B17" s="216">
        <f>VLOOKUP(D17,Ref_하나은행!A:B,2,0)</f>
        <v>1707.75</v>
      </c>
      <c r="C17" s="110" t="s">
        <v>117</v>
      </c>
      <c r="D17" s="250" t="s">
        <v>118</v>
      </c>
      <c r="E17" s="110" t="s">
        <v>119</v>
      </c>
      <c r="F17" s="295">
        <v>11936.7</v>
      </c>
      <c r="G17" s="295">
        <f>F17/90</f>
        <v>132.63</v>
      </c>
      <c r="H17" s="118">
        <f>G17*B17</f>
        <v>226498.88249999998</v>
      </c>
      <c r="I17" s="230">
        <v>0.73</v>
      </c>
      <c r="J17" s="118">
        <f>H17*I17*(1+$J$16)</f>
        <v>181878.6026475</v>
      </c>
      <c r="K17" s="118">
        <f>J17*(1+$K$16)</f>
        <v>197683.85321756775</v>
      </c>
      <c r="L17" s="141">
        <f>H17*0.73*1.1*1.0869</f>
        <v>197683.85321756775</v>
      </c>
    </row>
    <row r="18" spans="2:14">
      <c r="B18" s="216">
        <f>VLOOKUP(D18,Ref_하나은행!A:B,2,0)</f>
        <v>1351.85</v>
      </c>
      <c r="C18" s="110" t="s">
        <v>120</v>
      </c>
      <c r="D18" s="250" t="s">
        <v>121</v>
      </c>
      <c r="E18" s="110" t="s">
        <v>119</v>
      </c>
      <c r="F18" s="297">
        <v>31162.5</v>
      </c>
      <c r="G18" s="297">
        <f>F18/90</f>
        <v>346.25</v>
      </c>
      <c r="H18" s="118">
        <f>G18*B18</f>
        <v>468078.06249999994</v>
      </c>
      <c r="I18" s="230">
        <v>0.74</v>
      </c>
      <c r="J18" s="118">
        <f>H18*I18*(1+$J$16)</f>
        <v>381015.54287499993</v>
      </c>
      <c r="K18" s="118">
        <f t="shared" ref="K18:K22" si="0">J18*(1+$K$16)</f>
        <v>414125.79355083744</v>
      </c>
      <c r="L18" s="141">
        <f>H18*0.74*1.1*1.0869</f>
        <v>414125.79355083744</v>
      </c>
    </row>
    <row r="19" spans="2:14">
      <c r="B19" s="216">
        <f>VLOOKUP(D19,Ref_하나은행!A:B,2,0)</f>
        <v>988.63</v>
      </c>
      <c r="C19" s="110" t="s">
        <v>122</v>
      </c>
      <c r="D19" s="250" t="s">
        <v>123</v>
      </c>
      <c r="E19" s="110" t="s">
        <v>119</v>
      </c>
      <c r="F19" s="297">
        <f>G19*90</f>
        <v>19199.7</v>
      </c>
      <c r="G19" s="297">
        <v>213.33</v>
      </c>
      <c r="H19" s="118">
        <f>G19*B19</f>
        <v>210904.43790000002</v>
      </c>
      <c r="I19" s="230">
        <v>0.81</v>
      </c>
      <c r="J19" s="118">
        <f>H19*I19*(1+$J$16)</f>
        <v>187915.85416890006</v>
      </c>
      <c r="K19" s="118">
        <f t="shared" si="0"/>
        <v>204245.74189617747</v>
      </c>
      <c r="L19" s="141">
        <f>H19*0.81*1.1*1.0869</f>
        <v>204245.74189617747</v>
      </c>
    </row>
    <row r="20" spans="2:14">
      <c r="B20" s="216">
        <f>VLOOKUP(D20,Ref_하나은행!A:B,2,0)/100</f>
        <v>9.1559000000000008</v>
      </c>
      <c r="C20" s="110" t="s">
        <v>124</v>
      </c>
      <c r="D20" s="250" t="s">
        <v>125</v>
      </c>
      <c r="E20" s="110" t="s">
        <v>119</v>
      </c>
      <c r="F20" s="296">
        <f>G20*90</f>
        <v>1972512</v>
      </c>
      <c r="G20" s="296">
        <v>21916.799999999999</v>
      </c>
      <c r="H20" s="118">
        <f>G20*B20</f>
        <v>200668.02912000002</v>
      </c>
      <c r="I20" s="230">
        <v>0.79</v>
      </c>
      <c r="J20" s="118">
        <f>H20*I20*(1+$J$16)</f>
        <v>174380.51730528005</v>
      </c>
      <c r="K20" s="118">
        <f t="shared" si="0"/>
        <v>189534.18425910888</v>
      </c>
      <c r="L20" s="141">
        <f>H20*0.79*1.1*1.0869</f>
        <v>189534.18425910888</v>
      </c>
      <c r="M20" s="322"/>
      <c r="N20" s="249"/>
    </row>
    <row r="21" spans="2:14">
      <c r="B21" s="216">
        <f>VLOOKUP(D21,Ref_하나은행!A:B,2,0)</f>
        <v>1457.84</v>
      </c>
      <c r="C21" s="110" t="s">
        <v>126</v>
      </c>
      <c r="D21" s="250" t="s">
        <v>127</v>
      </c>
      <c r="E21" s="110" t="s">
        <v>119</v>
      </c>
      <c r="F21" s="296" t="s">
        <v>80</v>
      </c>
      <c r="G21" s="296" t="s">
        <v>80</v>
      </c>
      <c r="H21" s="117" t="s">
        <v>80</v>
      </c>
      <c r="I21" s="230">
        <v>0.77</v>
      </c>
      <c r="J21" s="118" t="str">
        <f>IFERROR(H21*(1+$J$16),"n/a")</f>
        <v>n/a</v>
      </c>
      <c r="K21" s="118" t="str">
        <f>IFERROR(J21*(1+$K$16),"n/a")</f>
        <v>n/a</v>
      </c>
      <c r="L21" s="117" t="str">
        <f>IFERROR(ROUNDDOWN(H21*I21*(1+J21)*(1+K21),0.1),"n/a")</f>
        <v>n/a</v>
      </c>
    </row>
    <row r="22" spans="2:14">
      <c r="B22" s="216">
        <f>VLOOKUP(D22,Ref_하나은행!A:B,2,0)</f>
        <v>1457.84</v>
      </c>
      <c r="C22" s="110" t="s">
        <v>128</v>
      </c>
      <c r="D22" s="250" t="s">
        <v>127</v>
      </c>
      <c r="E22" s="110" t="s">
        <v>119</v>
      </c>
      <c r="F22" s="298">
        <v>17830.310000000001</v>
      </c>
      <c r="G22" s="298">
        <f>F22/90</f>
        <v>198.11455555555557</v>
      </c>
      <c r="H22" s="118">
        <f>G22*B22</f>
        <v>288819.32367111114</v>
      </c>
      <c r="I22" s="231">
        <f>(((((G22/1.19)-8.35)/1.03)-0.7)/1.0315)*0.93</f>
        <v>137.78877250960153</v>
      </c>
      <c r="J22" s="118">
        <f>I22*(1+J16)*B22</f>
        <v>220961.38252693723</v>
      </c>
      <c r="K22" s="118">
        <f t="shared" si="0"/>
        <v>240162.92666852806</v>
      </c>
      <c r="L22" s="217">
        <f>IFERROR(ROUNDDOWN((((((G22/1.19)-8.35)/1.03)-0.7)/1.0315)*0.93*1.1*1.0869*B22,0.1),"n/a")</f>
        <v>240162</v>
      </c>
    </row>
    <row r="23" spans="2:14">
      <c r="B23" s="216">
        <f>VLOOKUP(D23,Ref_하나은행!A:B,2,0)</f>
        <v>1457.84</v>
      </c>
      <c r="C23" s="110" t="s">
        <v>129</v>
      </c>
      <c r="D23" s="250" t="s">
        <v>127</v>
      </c>
      <c r="E23" s="110" t="s">
        <v>119</v>
      </c>
      <c r="F23" s="295" t="s">
        <v>80</v>
      </c>
      <c r="G23" s="295" t="s">
        <v>80</v>
      </c>
      <c r="H23" s="117" t="s">
        <v>80</v>
      </c>
      <c r="I23" s="230">
        <v>0.93</v>
      </c>
      <c r="J23" s="118" t="str">
        <f>IFERROR(H23*(1+$J$16),"n/a")</f>
        <v>n/a</v>
      </c>
      <c r="K23" s="118" t="str">
        <f>IFERROR(J23*(1+$K$16),"n/a")</f>
        <v>n/a</v>
      </c>
      <c r="L23" s="117" t="str">
        <f>IFERROR(ROUNDDOWN(H23*I23*(1+J23)*(1+K23),0.1),"n/a")</f>
        <v>n/a</v>
      </c>
    </row>
    <row r="24" spans="2:14">
      <c r="B24" s="216">
        <f>VLOOKUP(D24,Ref_하나은행!A:B,2,0)</f>
        <v>1522.62</v>
      </c>
      <c r="C24" s="110" t="s">
        <v>130</v>
      </c>
      <c r="D24" s="250" t="s">
        <v>131</v>
      </c>
      <c r="E24" s="110" t="s">
        <v>119</v>
      </c>
      <c r="F24" s="295" t="s">
        <v>80</v>
      </c>
      <c r="G24" s="295" t="s">
        <v>80</v>
      </c>
      <c r="H24" s="117" t="s">
        <v>80</v>
      </c>
      <c r="I24" s="230">
        <v>0.73</v>
      </c>
      <c r="J24" s="118" t="str">
        <f>IFERROR(H24*(1+$J$16), "n/a")</f>
        <v>n/a</v>
      </c>
      <c r="K24" s="118" t="str">
        <f>IFERROR(J24*(1+$K$16),"n/a")</f>
        <v>n/a</v>
      </c>
      <c r="L24" s="117" t="str">
        <f>IFERROR(ROUNDDOWN(H24*I24*(1+J24)*(1+K24),0.1),"n/a")</f>
        <v>n/a</v>
      </c>
    </row>
    <row r="26" spans="2:14">
      <c r="B26" s="109" t="s">
        <v>132</v>
      </c>
      <c r="C26" s="109" t="s">
        <v>133</v>
      </c>
      <c r="L26" s="223" t="s">
        <v>134</v>
      </c>
    </row>
    <row r="27" spans="2:14">
      <c r="B27" s="142" t="s">
        <v>135</v>
      </c>
      <c r="C27" s="143">
        <f>MIN(L17:L19)</f>
        <v>197683.85321756775</v>
      </c>
      <c r="F27" s="234"/>
    </row>
    <row r="29" spans="2:14">
      <c r="B29" s="109" t="s">
        <v>315</v>
      </c>
      <c r="C29" s="109" t="s">
        <v>133</v>
      </c>
    </row>
    <row r="30" spans="2:14">
      <c r="B30" s="142" t="s">
        <v>135</v>
      </c>
      <c r="C30" s="143">
        <f>AVERAGE(L17:L22)</f>
        <v>249150.31458473828</v>
      </c>
      <c r="D30" s="299"/>
    </row>
  </sheetData>
  <mergeCells count="3">
    <mergeCell ref="C15:C16"/>
    <mergeCell ref="E15:E16"/>
    <mergeCell ref="D15:D16"/>
  </mergeCells>
  <phoneticPr fontId="5" type="noConversion"/>
  <pageMargins left="0.7" right="0.7" top="0.75" bottom="0.75" header="0.3" footer="0.3"/>
  <pageSetup paperSize="9" orientation="portrait" r:id="rId1"/>
  <headerFooter>
    <oddHeader>&amp;L&amp;"Calibri"&amp;12&amp;K8E6A00 기밀-Confidential&amp;1#_x000D_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4AEE-FE1F-428A-A0B6-C51084F5B85B}">
  <dimension ref="A1:U44"/>
  <sheetViews>
    <sheetView showGridLines="0" zoomScaleNormal="100" workbookViewId="0">
      <selection activeCell="D29" sqref="D29"/>
    </sheetView>
  </sheetViews>
  <sheetFormatPr defaultColWidth="9" defaultRowHeight="12"/>
  <cols>
    <col min="1" max="2" width="3" style="87" customWidth="1"/>
    <col min="3" max="3" width="25.42578125" style="87" customWidth="1"/>
    <col min="4" max="6" width="20.5703125" style="87" customWidth="1"/>
    <col min="7" max="7" width="22.5703125" style="87" bestFit="1" customWidth="1"/>
    <col min="8" max="16" width="20.5703125" style="87" customWidth="1"/>
    <col min="17" max="16384" width="9" style="87"/>
  </cols>
  <sheetData>
    <row r="1" spans="1:21" s="86" customFormat="1" ht="27" customHeight="1">
      <c r="A1" s="84"/>
      <c r="B1" s="85" t="str">
        <f>title</f>
        <v>Budget impact model of belzutifan as a treatment for Von Hippel Lindau Disease-associated renal cell carcinoma, central nervous system hemangioblastoma, and pancreatic neuroendocrine tumor</v>
      </c>
      <c r="D1" s="85"/>
    </row>
    <row r="2" spans="1:21" ht="16.5" customHeight="1">
      <c r="J2" s="88"/>
      <c r="K2" s="88"/>
    </row>
    <row r="3" spans="1:21" s="1" customFormat="1" ht="24" thickBot="1">
      <c r="A3" s="72" t="s">
        <v>54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</row>
    <row r="4" spans="1:21" ht="16.5" customHeight="1" thickTop="1">
      <c r="J4" s="88"/>
      <c r="K4" s="88"/>
    </row>
    <row r="5" spans="1:21" s="97" customFormat="1" ht="16.5" customHeight="1" thickBot="1">
      <c r="B5" s="89" t="s">
        <v>55</v>
      </c>
      <c r="C5" s="89"/>
      <c r="D5" s="89"/>
      <c r="E5" s="89"/>
      <c r="F5" s="89"/>
      <c r="J5" s="120"/>
      <c r="K5" s="120"/>
    </row>
    <row r="6" spans="1:21" s="97" customFormat="1" ht="16.5" customHeight="1" thickTop="1">
      <c r="B6" s="1"/>
      <c r="C6" s="1"/>
      <c r="D6" s="1"/>
      <c r="E6" s="1"/>
      <c r="F6" s="1"/>
      <c r="J6" s="120"/>
      <c r="K6" s="120"/>
    </row>
    <row r="7" spans="1:21" s="97" customFormat="1" ht="16.5" customHeight="1">
      <c r="B7" s="11"/>
      <c r="C7" s="48" t="s">
        <v>56</v>
      </c>
      <c r="D7" s="222">
        <f>Cost_drug!F10</f>
        <v>156380</v>
      </c>
      <c r="E7" s="11"/>
      <c r="F7" s="11"/>
      <c r="J7" s="120"/>
      <c r="K7" s="120"/>
    </row>
    <row r="8" spans="1:21" s="97" customFormat="1" ht="16.149999999999999" customHeight="1">
      <c r="J8" s="120"/>
      <c r="K8" s="120"/>
    </row>
    <row r="9" spans="1:21" s="97" customFormat="1" ht="16.5" customHeight="1" thickBot="1">
      <c r="B9" s="89" t="s">
        <v>58</v>
      </c>
      <c r="C9" s="89"/>
      <c r="D9" s="89"/>
      <c r="E9" s="89"/>
      <c r="F9" s="89"/>
      <c r="G9" s="89"/>
      <c r="H9" s="89"/>
      <c r="I9" s="89"/>
      <c r="J9" s="120"/>
    </row>
    <row r="10" spans="1:21" s="97" customFormat="1" ht="16.5" customHeight="1" thickTop="1">
      <c r="B10" s="121"/>
      <c r="C10" s="121"/>
      <c r="D10" s="121"/>
      <c r="E10" s="121"/>
      <c r="F10" s="121"/>
      <c r="G10" s="121"/>
      <c r="H10" s="121"/>
      <c r="I10" s="121"/>
      <c r="J10" s="120"/>
    </row>
    <row r="11" spans="1:21" s="97" customFormat="1" ht="16.5" customHeight="1">
      <c r="B11" s="122" t="s">
        <v>59</v>
      </c>
      <c r="C11" s="123"/>
      <c r="D11" s="92"/>
      <c r="E11" s="93"/>
      <c r="F11" s="93"/>
      <c r="J11" s="120"/>
    </row>
    <row r="12" spans="1:21" s="97" customFormat="1" ht="16.5" customHeight="1">
      <c r="B12" s="122"/>
      <c r="C12" s="363" t="s">
        <v>60</v>
      </c>
      <c r="D12" s="360" t="s">
        <v>61</v>
      </c>
      <c r="E12" s="361"/>
      <c r="F12" s="362"/>
      <c r="G12" s="120"/>
      <c r="J12" s="120"/>
    </row>
    <row r="13" spans="1:21" s="97" customFormat="1" ht="16.5" customHeight="1">
      <c r="B13" s="122"/>
      <c r="C13" s="364"/>
      <c r="D13" s="119" t="s">
        <v>62</v>
      </c>
      <c r="E13" s="119" t="s">
        <v>63</v>
      </c>
      <c r="F13" s="119" t="s">
        <v>64</v>
      </c>
      <c r="G13" s="120"/>
      <c r="J13" s="120"/>
    </row>
    <row r="14" spans="1:21" s="97" customFormat="1" ht="16.5" customHeight="1">
      <c r="B14" s="122"/>
      <c r="C14" s="90" t="str">
        <f>Tx_1</f>
        <v>Belzutifan</v>
      </c>
      <c r="D14" s="94">
        <v>12</v>
      </c>
      <c r="E14" s="94">
        <v>12</v>
      </c>
      <c r="F14" s="94">
        <v>12</v>
      </c>
      <c r="G14" s="120"/>
      <c r="J14" s="120"/>
    </row>
    <row r="15" spans="1:21" s="97" customFormat="1" ht="16.5" customHeight="1">
      <c r="B15" s="122"/>
      <c r="C15" s="91" t="s">
        <v>65</v>
      </c>
      <c r="D15" s="94">
        <v>12</v>
      </c>
      <c r="E15" s="94">
        <v>12</v>
      </c>
      <c r="F15" s="94">
        <v>12</v>
      </c>
      <c r="G15" s="120"/>
      <c r="J15" s="120"/>
    </row>
    <row r="16" spans="1:21" s="97" customFormat="1" ht="16.5" customHeight="1">
      <c r="B16" s="122"/>
      <c r="C16" s="95" t="s">
        <v>66</v>
      </c>
      <c r="D16" s="92"/>
      <c r="E16" s="93"/>
      <c r="F16" s="93"/>
      <c r="J16" s="120"/>
    </row>
    <row r="17" spans="2:10" s="97" customFormat="1" ht="16.5" customHeight="1">
      <c r="B17" s="122"/>
      <c r="C17" s="95"/>
      <c r="D17" s="92"/>
      <c r="E17" s="93"/>
      <c r="F17" s="93"/>
      <c r="J17" s="120"/>
    </row>
    <row r="18" spans="2:10" s="97" customFormat="1" ht="16.5" customHeight="1" thickBot="1">
      <c r="B18" s="89" t="s">
        <v>67</v>
      </c>
      <c r="C18" s="89"/>
      <c r="D18" s="89"/>
      <c r="E18" s="89"/>
      <c r="F18" s="89"/>
      <c r="G18" s="89"/>
      <c r="H18" s="89"/>
      <c r="I18" s="89"/>
      <c r="J18" s="120"/>
    </row>
    <row r="19" spans="2:10" s="97" customFormat="1" ht="16.5" customHeight="1" thickTop="1">
      <c r="B19" s="121"/>
      <c r="C19" s="121"/>
      <c r="D19" s="121"/>
      <c r="E19" s="121"/>
      <c r="F19" s="121"/>
      <c r="G19" s="121"/>
      <c r="H19" s="121"/>
      <c r="I19" s="121"/>
      <c r="J19" s="120"/>
    </row>
    <row r="20" spans="2:10" s="97" customFormat="1" ht="16.5" customHeight="1">
      <c r="B20" s="122" t="s">
        <v>68</v>
      </c>
      <c r="J20" s="120"/>
    </row>
    <row r="21" spans="2:10" s="97" customFormat="1" ht="16.5" customHeight="1">
      <c r="C21" s="124" t="s">
        <v>69</v>
      </c>
      <c r="D21" s="124" t="s">
        <v>70</v>
      </c>
      <c r="E21" s="124" t="s">
        <v>71</v>
      </c>
      <c r="F21" s="124" t="s">
        <v>72</v>
      </c>
      <c r="G21" s="124" t="s">
        <v>73</v>
      </c>
      <c r="H21" s="124" t="s">
        <v>74</v>
      </c>
      <c r="I21" s="124" t="s">
        <v>75</v>
      </c>
      <c r="J21" s="120"/>
    </row>
    <row r="22" spans="2:10" s="97" customFormat="1" ht="16.5" customHeight="1">
      <c r="C22" s="125" t="s">
        <v>76</v>
      </c>
      <c r="D22" s="126" t="s">
        <v>77</v>
      </c>
      <c r="E22" s="222">
        <f>Cost_drug!F10</f>
        <v>156380</v>
      </c>
      <c r="F22" s="127" t="s">
        <v>78</v>
      </c>
      <c r="G22" s="128">
        <v>3</v>
      </c>
      <c r="H22" s="129">
        <f>E22*G22</f>
        <v>469140</v>
      </c>
      <c r="I22" s="129">
        <f>H22*(365/12)</f>
        <v>14269675</v>
      </c>
      <c r="J22" s="120"/>
    </row>
    <row r="23" spans="2:10" s="97" customFormat="1" ht="16.5" customHeight="1">
      <c r="C23" s="125" t="s">
        <v>79</v>
      </c>
      <c r="D23" s="126" t="s">
        <v>80</v>
      </c>
      <c r="E23" s="159">
        <v>0</v>
      </c>
      <c r="F23" s="126" t="s">
        <v>80</v>
      </c>
      <c r="G23" s="126" t="s">
        <v>80</v>
      </c>
      <c r="H23" s="129">
        <v>0</v>
      </c>
      <c r="I23" s="129">
        <v>0</v>
      </c>
      <c r="J23" s="120"/>
    </row>
    <row r="24" spans="2:10" s="97" customFormat="1" ht="16.5" customHeight="1">
      <c r="C24" s="130"/>
      <c r="D24" s="131"/>
      <c r="E24" s="132"/>
      <c r="F24" s="131"/>
      <c r="G24" s="131"/>
      <c r="H24" s="132"/>
      <c r="I24" s="132"/>
      <c r="J24" s="120"/>
    </row>
    <row r="25" spans="2:10" s="97" customFormat="1" ht="16.5" customHeight="1">
      <c r="J25" s="120"/>
    </row>
    <row r="26" spans="2:10" s="97" customFormat="1" ht="16.5" customHeight="1">
      <c r="B26" s="122" t="s">
        <v>81</v>
      </c>
      <c r="H26" s="133"/>
      <c r="J26" s="120"/>
    </row>
    <row r="27" spans="2:10" s="97" customFormat="1" ht="16.5" customHeight="1">
      <c r="C27" s="370" t="s">
        <v>60</v>
      </c>
      <c r="D27" s="370" t="s">
        <v>82</v>
      </c>
      <c r="E27" s="370"/>
      <c r="F27" s="370"/>
      <c r="G27" s="371" t="s">
        <v>83</v>
      </c>
      <c r="H27" s="133"/>
      <c r="J27" s="120"/>
    </row>
    <row r="28" spans="2:10" s="97" customFormat="1" ht="16.5" customHeight="1">
      <c r="C28" s="370"/>
      <c r="D28" s="119" t="s">
        <v>62</v>
      </c>
      <c r="E28" s="119" t="s">
        <v>63</v>
      </c>
      <c r="F28" s="119" t="s">
        <v>64</v>
      </c>
      <c r="G28" s="371"/>
      <c r="H28" s="133"/>
      <c r="J28" s="120"/>
    </row>
    <row r="29" spans="2:10" s="97" customFormat="1" ht="16.5" customHeight="1">
      <c r="C29" s="90" t="str">
        <f>Tx_1</f>
        <v>Belzutifan</v>
      </c>
      <c r="D29" s="218">
        <f>D14*$I$22</f>
        <v>171236100</v>
      </c>
      <c r="E29" s="218">
        <f>E14*$I$22</f>
        <v>171236100</v>
      </c>
      <c r="F29" s="218">
        <f>F14*$I$22</f>
        <v>171236100</v>
      </c>
      <c r="G29" s="126" t="s">
        <v>84</v>
      </c>
      <c r="J29" s="120"/>
    </row>
    <row r="30" spans="2:10" s="97" customFormat="1" ht="16.5" customHeight="1">
      <c r="C30" s="91" t="s">
        <v>13</v>
      </c>
      <c r="D30" s="219">
        <f>D15*$I$23</f>
        <v>0</v>
      </c>
      <c r="E30" s="219">
        <f>E15*$I$23</f>
        <v>0</v>
      </c>
      <c r="F30" s="219">
        <f>F15*$I$23</f>
        <v>0</v>
      </c>
      <c r="G30" s="126" t="s">
        <v>85</v>
      </c>
      <c r="J30" s="120"/>
    </row>
    <row r="31" spans="2:10" s="97" customFormat="1" ht="16.5" customHeight="1">
      <c r="C31" s="95"/>
      <c r="D31" s="98"/>
      <c r="E31" s="98"/>
      <c r="F31" s="98"/>
      <c r="G31" s="131"/>
      <c r="J31" s="120"/>
    </row>
    <row r="32" spans="2:10" s="97" customFormat="1" ht="16.5" customHeight="1">
      <c r="C32" s="95"/>
      <c r="D32" s="98"/>
      <c r="E32" s="98"/>
      <c r="F32" s="98"/>
      <c r="G32" s="131"/>
      <c r="J32" s="120"/>
    </row>
    <row r="33" spans="1:11" s="97" customFormat="1" ht="16.5" hidden="1" customHeight="1">
      <c r="J33" s="120"/>
    </row>
    <row r="34" spans="1:11" s="97" customFormat="1" ht="16.5" hidden="1" customHeight="1" thickBot="1">
      <c r="B34" s="89" t="s">
        <v>86</v>
      </c>
      <c r="C34" s="89"/>
      <c r="D34" s="89"/>
      <c r="E34" s="89"/>
      <c r="F34" s="89"/>
      <c r="G34" s="89"/>
      <c r="H34" s="89"/>
      <c r="I34" s="89"/>
      <c r="J34" s="120"/>
    </row>
    <row r="35" spans="1:11" s="97" customFormat="1" ht="16.5" hidden="1" customHeight="1" thickTop="1">
      <c r="B35" s="121"/>
      <c r="C35" s="121"/>
      <c r="D35" s="121"/>
      <c r="E35" s="121"/>
      <c r="F35" s="121"/>
      <c r="G35" s="121"/>
      <c r="H35" s="121"/>
      <c r="I35" s="121"/>
      <c r="J35" s="120"/>
    </row>
    <row r="36" spans="1:11" s="97" customFormat="1" ht="16.5" hidden="1" customHeight="1">
      <c r="B36" s="121"/>
      <c r="C36" s="124" t="s">
        <v>87</v>
      </c>
      <c r="D36" s="124" t="s">
        <v>88</v>
      </c>
      <c r="E36" s="124" t="s">
        <v>89</v>
      </c>
      <c r="F36" s="124" t="s">
        <v>90</v>
      </c>
      <c r="G36" s="124" t="s">
        <v>91</v>
      </c>
      <c r="H36" s="124" t="s">
        <v>92</v>
      </c>
      <c r="I36" s="121"/>
      <c r="J36" s="120"/>
    </row>
    <row r="37" spans="1:11" s="97" customFormat="1" ht="16.5" hidden="1" customHeight="1">
      <c r="B37" s="121"/>
      <c r="C37" s="365" t="s">
        <v>93</v>
      </c>
      <c r="D37" s="366" t="s">
        <v>94</v>
      </c>
      <c r="E37" s="134" t="s">
        <v>95</v>
      </c>
      <c r="F37" s="367">
        <v>155990</v>
      </c>
      <c r="G37" s="135" t="e">
        <f>F37*(1+#REF!)</f>
        <v>#REF!</v>
      </c>
      <c r="H37" s="368" t="e">
        <f>SUMPRODUCT(G37:G38,#REF!)</f>
        <v>#REF!</v>
      </c>
      <c r="I37" s="121"/>
      <c r="J37" s="120"/>
    </row>
    <row r="38" spans="1:11" s="97" customFormat="1" ht="16.5" hidden="1" customHeight="1">
      <c r="B38" s="121"/>
      <c r="C38" s="365"/>
      <c r="D38" s="366"/>
      <c r="E38" s="134" t="s">
        <v>96</v>
      </c>
      <c r="F38" s="367"/>
      <c r="G38" s="135" t="e">
        <f>F37*(1+#REF!)</f>
        <v>#REF!</v>
      </c>
      <c r="H38" s="368"/>
      <c r="I38" s="136"/>
      <c r="J38" s="120"/>
    </row>
    <row r="39" spans="1:11" s="97" customFormat="1" ht="48.75" hidden="1" customHeight="1">
      <c r="C39" s="369" t="s">
        <v>97</v>
      </c>
      <c r="D39" s="369"/>
      <c r="E39" s="369"/>
      <c r="I39" s="137"/>
      <c r="J39" s="120"/>
    </row>
    <row r="40" spans="1:11" s="97" customFormat="1" ht="16.5" hidden="1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</row>
    <row r="41" spans="1:11" hidden="1">
      <c r="A41" s="88"/>
      <c r="B41" s="88"/>
      <c r="C41" s="88"/>
      <c r="D41" s="88"/>
      <c r="E41" s="88"/>
      <c r="F41" s="88"/>
      <c r="G41" s="88"/>
      <c r="H41" s="88"/>
      <c r="I41" s="88"/>
    </row>
    <row r="44" spans="1:11">
      <c r="I44" s="96"/>
    </row>
  </sheetData>
  <mergeCells count="10">
    <mergeCell ref="H37:H38"/>
    <mergeCell ref="C39:E39"/>
    <mergeCell ref="C27:C28"/>
    <mergeCell ref="D27:F27"/>
    <mergeCell ref="G27:G28"/>
    <mergeCell ref="D12:F12"/>
    <mergeCell ref="C12:C13"/>
    <mergeCell ref="C37:C38"/>
    <mergeCell ref="D37:D38"/>
    <mergeCell ref="F37:F38"/>
  </mergeCells>
  <phoneticPr fontId="5" type="noConversion"/>
  <pageMargins left="0.7" right="0.7" top="0.75" bottom="0.75" header="0.3" footer="0.3"/>
  <pageSetup paperSize="9" scale="32" fitToWidth="0" fitToHeight="0" orientation="portrait" r:id="rId1"/>
  <headerFooter>
    <oddHeader>&amp;L&amp;"Calibri"&amp;12&amp;K8E6A00 기밀-Confidential&amp;1#_x000D_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658C-0FF9-45F7-A47F-9EBCA3B4C95B}">
  <sheetPr>
    <tabColor theme="7" tint="0.79998168889431442"/>
  </sheetPr>
  <dimension ref="A1:AT98"/>
  <sheetViews>
    <sheetView showGridLines="0" topLeftCell="A14" zoomScale="80" zoomScaleNormal="100" workbookViewId="0">
      <selection activeCell="H24" sqref="H24"/>
    </sheetView>
  </sheetViews>
  <sheetFormatPr defaultColWidth="9" defaultRowHeight="12.75"/>
  <cols>
    <col min="1" max="1" width="4.5703125" style="5" customWidth="1"/>
    <col min="2" max="2" width="7.85546875" style="5" customWidth="1"/>
    <col min="3" max="3" width="25.28515625" style="5" customWidth="1"/>
    <col min="4" max="4" width="17.28515625" style="5" customWidth="1"/>
    <col min="5" max="6" width="18.42578125" style="5" customWidth="1"/>
    <col min="7" max="7" width="20.140625" style="5" customWidth="1"/>
    <col min="8" max="8" width="18.42578125" style="5" customWidth="1"/>
    <col min="9" max="16" width="17.7109375" style="5" customWidth="1"/>
    <col min="17" max="16384" width="9" style="5"/>
  </cols>
  <sheetData>
    <row r="1" spans="1:21" s="15" customFormat="1" ht="27" customHeight="1">
      <c r="A1" s="14"/>
      <c r="B1" s="16" t="str">
        <f>title</f>
        <v>Budget impact model of belzutifan as a treatment for Von Hippel Lindau Disease-associated renal cell carcinoma, central nervous system hemangioblastoma, and pancreatic neuroendocrine tumor</v>
      </c>
      <c r="D1" s="16"/>
    </row>
    <row r="2" spans="1:21" ht="16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12"/>
      <c r="L2" s="3"/>
      <c r="M2" s="3"/>
      <c r="N2" s="3"/>
      <c r="O2" s="3"/>
    </row>
    <row r="3" spans="1:21" ht="16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12"/>
      <c r="L3" s="3"/>
      <c r="M3" s="3"/>
      <c r="N3" s="3"/>
      <c r="O3" s="3"/>
    </row>
    <row r="4" spans="1:21" ht="16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12"/>
      <c r="L4" s="3"/>
      <c r="M4" s="3"/>
      <c r="N4" s="3"/>
      <c r="O4" s="3"/>
    </row>
    <row r="5" spans="1:21" s="6" customFormat="1" ht="16.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1"/>
      <c r="M5" s="12"/>
      <c r="U5" s="3"/>
    </row>
    <row r="6" spans="1:21" ht="16.5" customHeigh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1"/>
      <c r="M6" s="3"/>
      <c r="U6" s="3"/>
    </row>
    <row r="7" spans="1:21" ht="19.5" thickBot="1">
      <c r="A7" s="3"/>
      <c r="B7" s="71" t="s">
        <v>136</v>
      </c>
      <c r="C7" s="13"/>
      <c r="D7" s="13"/>
      <c r="E7" s="13"/>
      <c r="F7" s="13"/>
      <c r="G7" s="13"/>
      <c r="H7" s="13"/>
      <c r="I7" s="13"/>
      <c r="J7" s="43"/>
      <c r="K7" s="12"/>
      <c r="L7" s="3"/>
      <c r="M7" s="3"/>
      <c r="U7" s="3"/>
    </row>
    <row r="8" spans="1:21" ht="16.5" customHeight="1" thickTop="1">
      <c r="A8" s="3"/>
      <c r="B8" s="43"/>
      <c r="C8" s="43"/>
      <c r="D8" s="43"/>
      <c r="E8" s="43"/>
      <c r="F8" s="177"/>
      <c r="G8" s="176"/>
      <c r="H8" s="176"/>
      <c r="I8" s="176"/>
      <c r="J8" s="176"/>
      <c r="K8" s="12"/>
      <c r="L8" s="3"/>
      <c r="M8" s="3"/>
      <c r="U8" s="3"/>
    </row>
    <row r="9" spans="1:21" ht="16.5" customHeight="1">
      <c r="A9" s="3"/>
      <c r="B9" s="48" t="s">
        <v>137</v>
      </c>
      <c r="C9" s="43"/>
      <c r="D9" s="43"/>
      <c r="E9" s="43"/>
      <c r="F9" s="161" t="s">
        <v>138</v>
      </c>
      <c r="G9" s="43"/>
      <c r="H9" s="43"/>
      <c r="I9" s="43"/>
      <c r="J9" s="43"/>
      <c r="K9" s="12"/>
      <c r="L9" s="3"/>
      <c r="M9" s="3"/>
      <c r="U9" s="3"/>
    </row>
    <row r="10" spans="1:21" ht="16.5" customHeight="1">
      <c r="A10" s="3"/>
      <c r="B10" s="48"/>
      <c r="C10" s="43"/>
      <c r="D10" s="43"/>
      <c r="E10" s="43"/>
      <c r="F10" s="154" t="s">
        <v>139</v>
      </c>
      <c r="G10" s="43"/>
      <c r="H10" s="154" t="s">
        <v>139</v>
      </c>
      <c r="I10" s="43"/>
      <c r="J10" s="43"/>
      <c r="K10" s="3"/>
      <c r="L10" s="3"/>
      <c r="M10" s="3"/>
      <c r="U10" s="3"/>
    </row>
    <row r="11" spans="1:21" ht="16.5" customHeight="1">
      <c r="A11" s="3"/>
      <c r="B11" s="48"/>
      <c r="C11" s="43" t="s">
        <v>140</v>
      </c>
      <c r="D11" s="43"/>
      <c r="E11" s="43"/>
      <c r="F11" s="43"/>
      <c r="G11" s="43"/>
      <c r="H11" s="43"/>
      <c r="I11" s="43"/>
      <c r="J11" s="43"/>
      <c r="K11" s="3"/>
      <c r="L11" s="3"/>
      <c r="M11" s="3"/>
      <c r="U11" s="3"/>
    </row>
    <row r="12" spans="1:21" ht="16.5" customHeight="1">
      <c r="A12" s="3"/>
      <c r="B12" s="43"/>
      <c r="C12" s="61" t="s">
        <v>141</v>
      </c>
      <c r="D12" s="257">
        <v>2026</v>
      </c>
      <c r="E12" s="258">
        <f>D12+1</f>
        <v>2027</v>
      </c>
      <c r="F12" s="259">
        <f>E12+1</f>
        <v>2028</v>
      </c>
      <c r="G12" s="260">
        <f>F12+1</f>
        <v>2029</v>
      </c>
      <c r="H12" s="43"/>
      <c r="I12" s="43"/>
      <c r="J12" s="43"/>
      <c r="K12" s="3"/>
      <c r="L12" s="3"/>
      <c r="M12" s="3"/>
      <c r="U12" s="3"/>
    </row>
    <row r="13" spans="1:21" ht="18" customHeight="1">
      <c r="A13" s="3"/>
      <c r="B13" s="43"/>
      <c r="C13" s="57" t="s">
        <v>142</v>
      </c>
      <c r="D13" s="58">
        <v>0</v>
      </c>
      <c r="E13" s="60">
        <v>0.95</v>
      </c>
      <c r="F13" s="60">
        <v>0.97499999999999998</v>
      </c>
      <c r="G13" s="60">
        <v>1</v>
      </c>
      <c r="H13" s="43"/>
      <c r="I13" s="43"/>
      <c r="J13" s="43"/>
      <c r="K13" s="3"/>
      <c r="L13" s="3"/>
      <c r="M13" s="3"/>
      <c r="U13" s="3"/>
    </row>
    <row r="14" spans="1:21" ht="18" customHeight="1">
      <c r="A14" s="3"/>
      <c r="B14" s="43"/>
      <c r="C14" s="57" t="s">
        <v>370</v>
      </c>
      <c r="D14" s="60">
        <v>1</v>
      </c>
      <c r="E14" s="59">
        <f>(1-E$13)*$D14</f>
        <v>5.0000000000000044E-2</v>
      </c>
      <c r="F14" s="59">
        <f t="shared" ref="F14:G14" si="0">(1-F$13)*$D14</f>
        <v>2.5000000000000022E-2</v>
      </c>
      <c r="G14" s="59">
        <f t="shared" si="0"/>
        <v>0</v>
      </c>
      <c r="H14" s="43"/>
      <c r="I14" s="43"/>
      <c r="J14" s="43"/>
      <c r="K14" s="3"/>
      <c r="L14" s="3"/>
      <c r="M14" s="3"/>
      <c r="U14" s="3"/>
    </row>
    <row r="15" spans="1:21" ht="18" customHeight="1">
      <c r="A15" s="3"/>
      <c r="B15" s="43"/>
      <c r="C15" s="208"/>
      <c r="D15" s="209"/>
      <c r="E15" s="210"/>
      <c r="F15" s="210"/>
      <c r="G15" s="210"/>
      <c r="H15" s="43"/>
      <c r="I15" s="43"/>
      <c r="J15" s="43"/>
      <c r="K15" s="3"/>
      <c r="L15" s="3"/>
      <c r="M15" s="3"/>
      <c r="U15" s="3"/>
    </row>
    <row r="16" spans="1:21" ht="18" customHeight="1">
      <c r="A16" s="3"/>
      <c r="B16" s="43"/>
      <c r="C16" s="43" t="s">
        <v>143</v>
      </c>
      <c r="D16" s="209"/>
      <c r="E16" s="210"/>
      <c r="F16" s="210"/>
      <c r="G16" s="210"/>
      <c r="H16" s="43"/>
      <c r="I16" s="43"/>
      <c r="J16" s="43"/>
      <c r="K16" s="3"/>
      <c r="L16" s="3"/>
      <c r="M16" s="3"/>
      <c r="U16" s="3"/>
    </row>
    <row r="17" spans="1:46" ht="18" customHeight="1">
      <c r="A17" s="3"/>
      <c r="B17" s="43"/>
      <c r="C17" s="61" t="s">
        <v>141</v>
      </c>
      <c r="D17" s="374" t="s">
        <v>144</v>
      </c>
      <c r="E17" s="375"/>
      <c r="F17" s="210"/>
      <c r="G17" s="210"/>
      <c r="H17" s="43"/>
      <c r="I17" s="43"/>
      <c r="J17" s="43"/>
      <c r="K17" s="3"/>
      <c r="L17" s="3"/>
      <c r="M17" s="3"/>
      <c r="U17" s="3"/>
    </row>
    <row r="18" spans="1:46" ht="16.5" customHeight="1">
      <c r="A18" s="3"/>
      <c r="B18" s="43"/>
      <c r="C18" s="57" t="s">
        <v>142</v>
      </c>
      <c r="D18" s="376">
        <v>1</v>
      </c>
      <c r="E18" s="377"/>
      <c r="F18" s="43"/>
      <c r="G18" s="43"/>
      <c r="H18" s="43"/>
      <c r="I18" s="43"/>
      <c r="J18" s="43"/>
      <c r="K18" s="3"/>
      <c r="L18" s="3"/>
      <c r="M18" s="3"/>
      <c r="U18" s="3"/>
    </row>
    <row r="19" spans="1:46" ht="16.149999999999999" customHeight="1">
      <c r="A19" s="3"/>
      <c r="B19" s="43"/>
      <c r="C19" s="57" t="s">
        <v>370</v>
      </c>
      <c r="D19" s="378">
        <v>0</v>
      </c>
      <c r="E19" s="379"/>
      <c r="F19" s="43"/>
      <c r="G19" s="43"/>
      <c r="H19" s="43"/>
      <c r="I19" s="43"/>
      <c r="J19" s="43"/>
      <c r="K19" s="3"/>
      <c r="L19" s="3"/>
      <c r="M19" s="3"/>
      <c r="U19" s="3"/>
    </row>
    <row r="20" spans="1:46" ht="16.149999999999999" customHeight="1">
      <c r="A20" s="3"/>
      <c r="B20" s="43"/>
      <c r="C20" s="43"/>
      <c r="D20" s="43"/>
      <c r="E20" s="43"/>
      <c r="F20" s="43"/>
      <c r="G20" s="43"/>
      <c r="H20" s="43"/>
      <c r="I20" s="43"/>
      <c r="J20" s="43"/>
      <c r="K20" s="3"/>
      <c r="L20" s="3"/>
      <c r="M20" s="3"/>
      <c r="U20" s="3"/>
    </row>
    <row r="21" spans="1:46" ht="16.149999999999999" customHeight="1">
      <c r="A21" s="3"/>
      <c r="B21" s="43"/>
      <c r="C21" s="43" t="s">
        <v>145</v>
      </c>
      <c r="D21" s="43"/>
      <c r="E21" s="43"/>
      <c r="F21" s="43"/>
      <c r="G21" s="43"/>
      <c r="H21" s="43"/>
      <c r="I21" s="43"/>
      <c r="J21" s="43"/>
      <c r="K21" s="3"/>
      <c r="L21" s="3"/>
      <c r="M21" s="3"/>
      <c r="U21" s="3"/>
    </row>
    <row r="22" spans="1:46">
      <c r="A22" s="3"/>
      <c r="B22" s="43"/>
      <c r="C22" s="62" t="s">
        <v>146</v>
      </c>
      <c r="D22" s="258">
        <f>E12</f>
        <v>2027</v>
      </c>
      <c r="E22" s="258">
        <f>F12</f>
        <v>2028</v>
      </c>
      <c r="F22" s="258">
        <f>G12</f>
        <v>2029</v>
      </c>
      <c r="G22" s="43"/>
      <c r="H22" s="43"/>
      <c r="I22" s="43"/>
      <c r="J22" s="43"/>
      <c r="K22" s="3"/>
      <c r="L22" s="3"/>
      <c r="M22" s="3"/>
      <c r="U22" s="3"/>
    </row>
    <row r="23" spans="1:46" ht="16.5" customHeight="1">
      <c r="A23" s="3"/>
      <c r="B23" s="43"/>
      <c r="C23" s="44" t="s">
        <v>147</v>
      </c>
      <c r="D23" s="45">
        <f>D45</f>
        <v>137970</v>
      </c>
      <c r="E23" s="45">
        <f t="shared" ref="E23:F23" si="1">E45</f>
        <v>153300</v>
      </c>
      <c r="F23" s="45">
        <f t="shared" si="1"/>
        <v>162060</v>
      </c>
      <c r="G23" s="43"/>
      <c r="H23" s="278"/>
      <c r="I23" s="43"/>
      <c r="J23" s="43"/>
      <c r="K23" s="12"/>
      <c r="L23" s="3"/>
      <c r="M23" s="3"/>
      <c r="U23" s="3"/>
    </row>
    <row r="24" spans="1:46" ht="16.5" customHeight="1">
      <c r="A24" s="3"/>
      <c r="B24" s="43"/>
      <c r="C24" s="43"/>
      <c r="D24" s="43"/>
      <c r="E24" s="43"/>
      <c r="F24" s="43"/>
      <c r="G24" s="43"/>
      <c r="H24" s="43"/>
      <c r="I24" s="43"/>
      <c r="J24" s="43"/>
      <c r="K24" s="12"/>
      <c r="L24" s="3"/>
      <c r="M24" s="3"/>
      <c r="U24" s="3"/>
    </row>
    <row r="25" spans="1:46" ht="16.5" customHeight="1">
      <c r="A25" s="3"/>
      <c r="B25" s="43"/>
      <c r="C25" s="43"/>
      <c r="D25" s="43"/>
      <c r="E25" s="43"/>
      <c r="F25" s="43"/>
      <c r="G25" s="43"/>
      <c r="H25" s="43"/>
      <c r="I25" s="43"/>
      <c r="J25" s="43"/>
      <c r="K25" s="12"/>
      <c r="L25" s="3"/>
      <c r="M25" s="3"/>
      <c r="U25" s="3"/>
    </row>
    <row r="26" spans="1:46" ht="19.5" thickBot="1">
      <c r="A26" s="3"/>
      <c r="B26" s="71" t="s">
        <v>148</v>
      </c>
      <c r="C26" s="13"/>
      <c r="D26" s="13"/>
      <c r="E26" s="13"/>
      <c r="F26" s="13"/>
      <c r="G26" s="13"/>
      <c r="H26" s="13"/>
      <c r="I26" s="13"/>
      <c r="J26" s="43"/>
      <c r="K26" s="12"/>
      <c r="L26" s="3"/>
      <c r="M26" s="3"/>
      <c r="U26" s="3"/>
    </row>
    <row r="27" spans="1:46" ht="16.5" customHeight="1" thickTop="1">
      <c r="A27" s="3"/>
      <c r="B27" s="43"/>
      <c r="C27" s="43"/>
      <c r="D27" s="43"/>
      <c r="E27" s="43"/>
      <c r="F27" s="43"/>
      <c r="G27" s="43"/>
      <c r="H27" s="43"/>
      <c r="I27" s="43"/>
      <c r="J27" s="43"/>
      <c r="K27" s="12"/>
      <c r="L27" s="3"/>
      <c r="M27" s="3"/>
      <c r="U27" s="3"/>
    </row>
    <row r="28" spans="1:46" ht="15.75" thickBot="1">
      <c r="A28" s="3"/>
      <c r="B28" s="48" t="s">
        <v>149</v>
      </c>
      <c r="C28" s="43"/>
      <c r="D28" s="43"/>
      <c r="E28" s="43"/>
      <c r="F28" s="3"/>
      <c r="G28" s="43"/>
      <c r="H28" s="43"/>
      <c r="I28" s="3"/>
      <c r="J28" s="3"/>
      <c r="K28" s="12"/>
      <c r="L28" s="3"/>
      <c r="M28" s="3"/>
      <c r="U28" s="3"/>
    </row>
    <row r="29" spans="1:46" s="7" customFormat="1" ht="16.5" customHeight="1">
      <c r="C29" s="393" t="s">
        <v>141</v>
      </c>
      <c r="D29" s="394"/>
      <c r="E29" s="381">
        <f>E12</f>
        <v>2027</v>
      </c>
      <c r="F29" s="382"/>
      <c r="G29" s="382"/>
      <c r="H29" s="382"/>
      <c r="I29" s="383">
        <f>F12</f>
        <v>2028</v>
      </c>
      <c r="J29" s="382"/>
      <c r="K29" s="382"/>
      <c r="L29" s="382"/>
      <c r="M29" s="384">
        <f>G12</f>
        <v>2029</v>
      </c>
      <c r="N29" s="382"/>
      <c r="O29" s="382"/>
      <c r="P29" s="38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6" s="7" customFormat="1" ht="16.5" customHeight="1">
      <c r="C30" s="395"/>
      <c r="D30" s="396"/>
      <c r="E30" s="380" t="s">
        <v>150</v>
      </c>
      <c r="F30" s="380"/>
      <c r="G30" s="380" t="s">
        <v>43</v>
      </c>
      <c r="H30" s="380"/>
      <c r="I30" s="380" t="s">
        <v>150</v>
      </c>
      <c r="J30" s="380"/>
      <c r="K30" s="380" t="s">
        <v>43</v>
      </c>
      <c r="L30" s="380"/>
      <c r="M30" s="380" t="s">
        <v>150</v>
      </c>
      <c r="N30" s="380"/>
      <c r="O30" s="380" t="s">
        <v>43</v>
      </c>
      <c r="P30" s="386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spans="1:46" s="7" customFormat="1" ht="31.15" customHeight="1" thickBot="1">
      <c r="C31" s="391" t="s">
        <v>151</v>
      </c>
      <c r="D31" s="392"/>
      <c r="E31" s="372">
        <f>Epi_Population!E59</f>
        <v>133</v>
      </c>
      <c r="F31" s="372"/>
      <c r="G31" s="372">
        <v>0</v>
      </c>
      <c r="H31" s="372"/>
      <c r="I31" s="372">
        <f>SUM(Epi_Population!G54:H54)</f>
        <v>16</v>
      </c>
      <c r="J31" s="372"/>
      <c r="K31" s="372">
        <f>Epi_Population!H49</f>
        <v>124.27868852459017</v>
      </c>
      <c r="L31" s="372"/>
      <c r="M31" s="372">
        <f>SUM(Epi_Population!I54:J54)</f>
        <v>17</v>
      </c>
      <c r="N31" s="372"/>
      <c r="O31" s="372">
        <f>Epi_Population!J49</f>
        <v>130.50819672131146</v>
      </c>
      <c r="P31" s="373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spans="1:46" s="7" customFormat="1" ht="16.5" customHeight="1">
      <c r="C32" s="387" t="s">
        <v>146</v>
      </c>
      <c r="D32" s="388"/>
      <c r="E32" s="382" t="s">
        <v>150</v>
      </c>
      <c r="F32" s="382"/>
      <c r="G32" s="382" t="s">
        <v>43</v>
      </c>
      <c r="H32" s="382"/>
      <c r="I32" s="382" t="s">
        <v>150</v>
      </c>
      <c r="J32" s="382"/>
      <c r="K32" s="382" t="s">
        <v>43</v>
      </c>
      <c r="L32" s="382"/>
      <c r="M32" s="382" t="s">
        <v>150</v>
      </c>
      <c r="N32" s="382"/>
      <c r="O32" s="382" t="s">
        <v>43</v>
      </c>
      <c r="P32" s="38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</row>
    <row r="33" spans="1:46" s="7" customFormat="1" ht="16.5" customHeight="1">
      <c r="C33" s="389"/>
      <c r="D33" s="390"/>
      <c r="E33" s="204" t="s">
        <v>152</v>
      </c>
      <c r="F33" s="204" t="s">
        <v>153</v>
      </c>
      <c r="G33" s="204" t="s">
        <v>152</v>
      </c>
      <c r="H33" s="204" t="s">
        <v>153</v>
      </c>
      <c r="I33" s="204" t="s">
        <v>152</v>
      </c>
      <c r="J33" s="204" t="s">
        <v>153</v>
      </c>
      <c r="K33" s="204" t="s">
        <v>152</v>
      </c>
      <c r="L33" s="204" t="s">
        <v>153</v>
      </c>
      <c r="M33" s="204" t="s">
        <v>152</v>
      </c>
      <c r="N33" s="204" t="s">
        <v>153</v>
      </c>
      <c r="O33" s="204" t="s">
        <v>152</v>
      </c>
      <c r="P33" s="205" t="s">
        <v>153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spans="1:46" s="7" customFormat="1" ht="16.5" customHeight="1">
      <c r="C34" s="397" t="s">
        <v>154</v>
      </c>
      <c r="D34" s="57" t="s">
        <v>142</v>
      </c>
      <c r="E34" s="202">
        <f>$D$13</f>
        <v>0</v>
      </c>
      <c r="F34" s="203">
        <f>ROUND($E$31*E34,0)</f>
        <v>0</v>
      </c>
      <c r="G34" s="202">
        <f>$D$13</f>
        <v>0</v>
      </c>
      <c r="H34" s="203">
        <f>ROUND($G$31*G34,0)</f>
        <v>0</v>
      </c>
      <c r="I34" s="202">
        <f>$D$13</f>
        <v>0</v>
      </c>
      <c r="J34" s="203">
        <f>ROUND($I$31*I34,0)</f>
        <v>0</v>
      </c>
      <c r="K34" s="202">
        <f>$D$13</f>
        <v>0</v>
      </c>
      <c r="L34" s="203">
        <f>ROUND($K$31*K34,0)</f>
        <v>0</v>
      </c>
      <c r="M34" s="202">
        <f>$D$13</f>
        <v>0</v>
      </c>
      <c r="N34" s="203">
        <f>ROUND($M$31*M34,0)</f>
        <v>0</v>
      </c>
      <c r="O34" s="202">
        <f>$D$13</f>
        <v>0</v>
      </c>
      <c r="P34" s="206">
        <f>ROUND($O$31*O34,0)</f>
        <v>0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</row>
    <row r="35" spans="1:46" s="7" customFormat="1" ht="16.5" customHeight="1">
      <c r="C35" s="397"/>
      <c r="D35" s="57" t="str">
        <f>C19</f>
        <v>Active surveillance</v>
      </c>
      <c r="E35" s="188">
        <f>$D$14</f>
        <v>1</v>
      </c>
      <c r="F35" s="196">
        <f>ROUND($E$31*E35,0)</f>
        <v>133</v>
      </c>
      <c r="G35" s="188">
        <f>$D$14</f>
        <v>1</v>
      </c>
      <c r="H35" s="196">
        <f>ROUND($G$31*G35,0)</f>
        <v>0</v>
      </c>
      <c r="I35" s="188">
        <f>$D$14</f>
        <v>1</v>
      </c>
      <c r="J35" s="196">
        <f t="shared" ref="J35:J37" si="2">ROUND($I$31*I35,0)</f>
        <v>16</v>
      </c>
      <c r="K35" s="188">
        <f>$D$14</f>
        <v>1</v>
      </c>
      <c r="L35" s="203">
        <f t="shared" ref="L35:L36" si="3">ROUND($K$31*K35,0)</f>
        <v>124</v>
      </c>
      <c r="M35" s="188">
        <f>$D$14</f>
        <v>1</v>
      </c>
      <c r="N35" s="203">
        <f t="shared" ref="N35:N37" si="4">ROUND($M$31*M35,0)</f>
        <v>17</v>
      </c>
      <c r="O35" s="188">
        <f>$D$14</f>
        <v>1</v>
      </c>
      <c r="P35" s="206">
        <f t="shared" ref="P35:P36" si="5">ROUND($O$31*O35,0)</f>
        <v>131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spans="1:46" s="7" customFormat="1" ht="16.5" customHeight="1">
      <c r="C36" s="397" t="s">
        <v>155</v>
      </c>
      <c r="D36" s="57" t="s">
        <v>142</v>
      </c>
      <c r="E36" s="188">
        <f>E13</f>
        <v>0.95</v>
      </c>
      <c r="F36" s="196">
        <f>ROUND($E$31*E36,0)</f>
        <v>126</v>
      </c>
      <c r="G36" s="188">
        <f>$D$18</f>
        <v>1</v>
      </c>
      <c r="H36" s="196">
        <f>ROUND($G$31*G36,0)</f>
        <v>0</v>
      </c>
      <c r="I36" s="188">
        <f>F13</f>
        <v>0.97499999999999998</v>
      </c>
      <c r="J36" s="196">
        <f t="shared" si="2"/>
        <v>16</v>
      </c>
      <c r="K36" s="188">
        <f>$D$18</f>
        <v>1</v>
      </c>
      <c r="L36" s="203">
        <f t="shared" si="3"/>
        <v>124</v>
      </c>
      <c r="M36" s="188">
        <f>G13</f>
        <v>1</v>
      </c>
      <c r="N36" s="203">
        <f t="shared" si="4"/>
        <v>17</v>
      </c>
      <c r="O36" s="188">
        <f>$D$18</f>
        <v>1</v>
      </c>
      <c r="P36" s="206">
        <f t="shared" si="5"/>
        <v>131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</row>
    <row r="37" spans="1:46" s="7" customFormat="1" ht="16.5" customHeight="1" thickBot="1">
      <c r="C37" s="402"/>
      <c r="D37" s="197" t="str">
        <f>C19</f>
        <v>Active surveillance</v>
      </c>
      <c r="E37" s="198">
        <f>E14</f>
        <v>5.0000000000000044E-2</v>
      </c>
      <c r="F37" s="199">
        <f>ROUND($E$31*E37,0)</f>
        <v>7</v>
      </c>
      <c r="G37" s="198">
        <f>$D$19</f>
        <v>0</v>
      </c>
      <c r="H37" s="200"/>
      <c r="I37" s="198">
        <f>F14</f>
        <v>2.5000000000000022E-2</v>
      </c>
      <c r="J37" s="199">
        <f t="shared" si="2"/>
        <v>0</v>
      </c>
      <c r="K37" s="198">
        <f>$D$19</f>
        <v>0</v>
      </c>
      <c r="L37" s="200"/>
      <c r="M37" s="198">
        <f>G14</f>
        <v>0</v>
      </c>
      <c r="N37" s="207">
        <f t="shared" si="4"/>
        <v>0</v>
      </c>
      <c r="O37" s="198">
        <f>$D$19</f>
        <v>0</v>
      </c>
      <c r="P37" s="201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spans="1:46" ht="16.5" customHeight="1">
      <c r="A38" s="3"/>
      <c r="B38" s="22"/>
      <c r="C38" s="47"/>
      <c r="D38" s="43"/>
      <c r="E38" s="43"/>
      <c r="F38" s="43"/>
      <c r="G38" s="43"/>
      <c r="H38" s="43"/>
      <c r="I38" s="3"/>
      <c r="J38" s="3"/>
      <c r="K38" s="50"/>
      <c r="L38" s="3"/>
      <c r="M38" s="3"/>
    </row>
    <row r="39" spans="1:46" ht="15">
      <c r="A39" s="3"/>
      <c r="B39" s="48" t="s">
        <v>156</v>
      </c>
      <c r="C39" s="43"/>
      <c r="D39" s="43"/>
      <c r="E39" s="43"/>
      <c r="F39" s="43"/>
      <c r="G39" s="43"/>
      <c r="H39" s="43"/>
      <c r="I39" s="43"/>
      <c r="J39" s="43"/>
      <c r="K39" s="12"/>
      <c r="L39" s="3"/>
      <c r="M39" s="7"/>
    </row>
    <row r="40" spans="1:46" ht="16.5" customHeight="1">
      <c r="A40" s="3"/>
      <c r="B40" s="3"/>
      <c r="C40" s="62" t="s">
        <v>146</v>
      </c>
      <c r="D40" s="258">
        <f>E12</f>
        <v>2027</v>
      </c>
      <c r="E40" s="258">
        <f t="shared" ref="E40:F40" si="6">F12</f>
        <v>2028</v>
      </c>
      <c r="F40" s="258">
        <f t="shared" si="6"/>
        <v>2029</v>
      </c>
    </row>
    <row r="41" spans="1:46" ht="31.5" customHeight="1">
      <c r="A41" s="3"/>
      <c r="B41" s="3"/>
      <c r="C41" s="44" t="s">
        <v>157</v>
      </c>
      <c r="D41" s="158">
        <f>SUM(F36,H36)</f>
        <v>126</v>
      </c>
      <c r="E41" s="158">
        <f>SUM(J36,L36)</f>
        <v>140</v>
      </c>
      <c r="F41" s="158">
        <f>SUM(N36,P36)</f>
        <v>148</v>
      </c>
    </row>
    <row r="42" spans="1:46" ht="31.5" customHeight="1">
      <c r="A42" s="3"/>
      <c r="B42" s="3"/>
      <c r="C42" s="44" t="s">
        <v>158</v>
      </c>
      <c r="D42" s="63">
        <v>3</v>
      </c>
      <c r="E42" s="63">
        <v>3</v>
      </c>
      <c r="F42" s="63">
        <v>3</v>
      </c>
    </row>
    <row r="43" spans="1:46" ht="31.5" customHeight="1">
      <c r="A43" s="3"/>
      <c r="B43" s="3"/>
      <c r="C43" s="64" t="s">
        <v>159</v>
      </c>
      <c r="D43" s="144">
        <f>Cost_treatment!D14*(365/12)</f>
        <v>365</v>
      </c>
      <c r="E43" s="144">
        <f>Cost_treatment!E14*(365/12)</f>
        <v>365</v>
      </c>
      <c r="F43" s="144">
        <f>Cost_treatment!F14*(365/12)</f>
        <v>365</v>
      </c>
      <c r="G43" s="1"/>
      <c r="H43" s="1"/>
    </row>
    <row r="44" spans="1:46" ht="31.5" customHeight="1">
      <c r="A44" s="3"/>
      <c r="B44" s="3"/>
      <c r="C44" s="44" t="s">
        <v>160</v>
      </c>
      <c r="D44" s="63">
        <f>D42*D43</f>
        <v>1095</v>
      </c>
      <c r="E44" s="65">
        <f>E42*E43</f>
        <v>1095</v>
      </c>
      <c r="F44" s="65">
        <f t="shared" ref="F44" si="7">F42*F43</f>
        <v>1095</v>
      </c>
      <c r="G44" s="1"/>
      <c r="H44" s="1"/>
    </row>
    <row r="45" spans="1:46" ht="16.5" customHeight="1">
      <c r="A45" s="3"/>
      <c r="B45" s="3"/>
      <c r="C45" s="44" t="s">
        <v>147</v>
      </c>
      <c r="D45" s="45">
        <f>D41*D44</f>
        <v>137970</v>
      </c>
      <c r="E45" s="45">
        <f t="shared" ref="E45:F45" si="8">E41*E44</f>
        <v>153300</v>
      </c>
      <c r="F45" s="45">
        <f t="shared" si="8"/>
        <v>162060</v>
      </c>
      <c r="G45" s="1"/>
      <c r="H45" s="1"/>
    </row>
    <row r="46" spans="1:46" ht="16.5" customHeight="1">
      <c r="A46" s="3"/>
      <c r="B46" s="3"/>
      <c r="C46" s="51"/>
      <c r="D46" s="46"/>
      <c r="E46" s="46"/>
      <c r="F46" s="46"/>
      <c r="G46" s="46"/>
      <c r="H46" s="46"/>
      <c r="N46" s="1"/>
    </row>
    <row r="47" spans="1:46" ht="16.5" customHeight="1">
      <c r="A47" s="3"/>
      <c r="B47" s="3"/>
      <c r="C47" s="46"/>
      <c r="D47" s="46"/>
      <c r="E47" s="46"/>
      <c r="F47" s="46"/>
      <c r="G47" s="12"/>
      <c r="H47" s="1"/>
      <c r="I47" s="12"/>
      <c r="J47" s="1"/>
      <c r="K47" s="12"/>
      <c r="L47" s="3"/>
      <c r="M47" s="1"/>
      <c r="N47" s="1"/>
    </row>
    <row r="48" spans="1:46" ht="19.5" thickBot="1">
      <c r="A48" s="3"/>
      <c r="B48" s="71" t="s">
        <v>161</v>
      </c>
      <c r="C48" s="13"/>
      <c r="D48" s="13"/>
      <c r="E48" s="13"/>
      <c r="F48" s="13"/>
      <c r="G48" s="13"/>
      <c r="H48" s="13"/>
      <c r="I48" s="13"/>
    </row>
    <row r="49" spans="1:21" ht="13.5" thickTop="1">
      <c r="A49" s="3"/>
      <c r="B49" s="43"/>
      <c r="C49" s="43"/>
      <c r="D49" s="43"/>
      <c r="E49" s="43"/>
      <c r="F49" s="43"/>
      <c r="G49" s="43"/>
      <c r="H49" s="43"/>
      <c r="I49" s="43"/>
    </row>
    <row r="50" spans="1:21" ht="17.25" customHeight="1">
      <c r="A50" s="3"/>
      <c r="B50" s="22"/>
      <c r="C50" s="398" t="s">
        <v>146</v>
      </c>
      <c r="D50" s="399"/>
      <c r="E50" s="258">
        <f>E12</f>
        <v>2027</v>
      </c>
      <c r="F50" s="258">
        <f t="shared" ref="F50:G50" si="9">F12</f>
        <v>2028</v>
      </c>
      <c r="G50" s="258">
        <f t="shared" si="9"/>
        <v>2029</v>
      </c>
      <c r="H50" s="43"/>
      <c r="I50" s="43"/>
    </row>
    <row r="51" spans="1:21" ht="17.25" customHeight="1">
      <c r="A51" s="3"/>
      <c r="B51" s="22"/>
      <c r="C51" s="400"/>
      <c r="D51" s="401"/>
      <c r="E51" s="62" t="s">
        <v>162</v>
      </c>
      <c r="F51" s="62" t="s">
        <v>162</v>
      </c>
      <c r="G51" s="62" t="s">
        <v>162</v>
      </c>
      <c r="H51" s="43"/>
      <c r="I51" s="43"/>
    </row>
    <row r="52" spans="1:21">
      <c r="A52" s="3"/>
      <c r="B52" s="3"/>
      <c r="C52" s="403" t="s">
        <v>56</v>
      </c>
      <c r="D52" s="404"/>
      <c r="E52" s="66">
        <f>D45*Cost_treatment!E22</f>
        <v>21575748600</v>
      </c>
      <c r="F52" s="66">
        <f>E45*Cost_treatment!E22</f>
        <v>23973054000</v>
      </c>
      <c r="G52" s="66">
        <f>F45*Cost_treatment!E22</f>
        <v>25342942800</v>
      </c>
      <c r="H52" s="43"/>
      <c r="I52" s="43"/>
    </row>
    <row r="53" spans="1:21">
      <c r="A53" s="3"/>
      <c r="B53" s="3"/>
      <c r="C53" s="52"/>
      <c r="D53" s="52"/>
      <c r="E53" s="53"/>
      <c r="F53" s="52"/>
      <c r="G53" s="49"/>
      <c r="H53" s="49"/>
      <c r="I53" s="49"/>
    </row>
    <row r="54" spans="1:21" ht="19.5" thickBot="1">
      <c r="A54" s="3"/>
      <c r="B54" s="71" t="s">
        <v>163</v>
      </c>
      <c r="C54" s="13"/>
      <c r="D54" s="13"/>
      <c r="E54" s="13"/>
      <c r="F54" s="13"/>
      <c r="G54" s="13"/>
      <c r="H54" s="13"/>
      <c r="I54" s="13"/>
    </row>
    <row r="55" spans="1:21" ht="16.5" customHeight="1" thickTop="1">
      <c r="A55" s="3"/>
      <c r="B55" s="43"/>
      <c r="C55" s="43"/>
      <c r="D55" s="43"/>
      <c r="E55" s="43"/>
      <c r="F55" s="43"/>
      <c r="G55" s="43"/>
      <c r="H55" s="43"/>
      <c r="I55" s="43"/>
    </row>
    <row r="56" spans="1:21" ht="16.5" customHeight="1">
      <c r="A56" s="3"/>
      <c r="B56" s="48" t="s">
        <v>164</v>
      </c>
      <c r="C56" s="43"/>
      <c r="D56" s="43"/>
      <c r="E56" s="43"/>
      <c r="F56" s="43"/>
      <c r="G56" s="43"/>
      <c r="H56" s="43"/>
      <c r="I56" s="43"/>
    </row>
    <row r="57" spans="1:21" s="8" customFormat="1" ht="16.5" customHeight="1">
      <c r="A57" s="54"/>
      <c r="B57" s="55"/>
      <c r="C57" s="406" t="s">
        <v>146</v>
      </c>
      <c r="D57" s="406"/>
      <c r="E57" s="258">
        <f>E12</f>
        <v>2027</v>
      </c>
      <c r="F57" s="258">
        <f t="shared" ref="F57:G57" si="10">F12</f>
        <v>2028</v>
      </c>
      <c r="G57" s="258">
        <f t="shared" si="10"/>
        <v>2029</v>
      </c>
      <c r="H57" s="46"/>
      <c r="I57" s="4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31.9" customHeight="1">
      <c r="A58" s="3"/>
      <c r="B58" s="22"/>
      <c r="C58" s="405" t="s">
        <v>165</v>
      </c>
      <c r="D58" s="44" t="s">
        <v>166</v>
      </c>
      <c r="E58" s="67">
        <f>Cost_treatment!D30</f>
        <v>0</v>
      </c>
      <c r="F58" s="67">
        <f>Cost_treatment!E30</f>
        <v>0</v>
      </c>
      <c r="G58" s="67">
        <f>Cost_treatment!F30</f>
        <v>0</v>
      </c>
      <c r="H58" s="43"/>
      <c r="I58" s="43"/>
    </row>
    <row r="59" spans="1:21" ht="31.9" customHeight="1">
      <c r="A59" s="3"/>
      <c r="B59" s="22"/>
      <c r="C59" s="405"/>
      <c r="D59" s="44" t="s">
        <v>167</v>
      </c>
      <c r="E59" s="68">
        <f>Cost_treatment!D29</f>
        <v>171236100</v>
      </c>
      <c r="F59" s="68">
        <f>Cost_treatment!E29</f>
        <v>171236100</v>
      </c>
      <c r="G59" s="68">
        <f>Cost_treatment!F29</f>
        <v>171236100</v>
      </c>
      <c r="H59" s="43"/>
      <c r="I59" s="43"/>
    </row>
    <row r="60" spans="1:21" ht="31.9" customHeight="1">
      <c r="A60" s="3"/>
      <c r="B60" s="22"/>
      <c r="C60" s="405"/>
      <c r="D60" s="44" t="s">
        <v>168</v>
      </c>
      <c r="E60" s="69">
        <f>E59-E58</f>
        <v>171236100</v>
      </c>
      <c r="F60" s="69">
        <f t="shared" ref="F60:G60" si="11">F59-F58</f>
        <v>171236100</v>
      </c>
      <c r="G60" s="69">
        <f t="shared" si="11"/>
        <v>171236100</v>
      </c>
      <c r="H60" s="43"/>
      <c r="I60" s="43"/>
      <c r="J60" s="43"/>
      <c r="K60" s="12"/>
      <c r="L60" s="3"/>
    </row>
    <row r="61" spans="1:21" ht="31.9" customHeight="1">
      <c r="A61" s="3"/>
      <c r="B61" s="22"/>
      <c r="C61" s="405" t="s">
        <v>169</v>
      </c>
      <c r="D61" s="44" t="s">
        <v>166</v>
      </c>
      <c r="E61" s="68">
        <f>E58*SUM(F35,H35)</f>
        <v>0</v>
      </c>
      <c r="F61" s="68">
        <f>F58*SUM(J35,L35)</f>
        <v>0</v>
      </c>
      <c r="G61" s="68">
        <f>G58*SUM(N35,P35)</f>
        <v>0</v>
      </c>
      <c r="H61" s="43"/>
      <c r="I61" s="43"/>
      <c r="J61" s="43"/>
      <c r="K61" s="12"/>
      <c r="L61" s="3"/>
      <c r="M61" s="8"/>
      <c r="N61" s="8"/>
      <c r="O61" s="8"/>
      <c r="P61" s="8"/>
      <c r="Q61" s="8"/>
      <c r="R61" s="8"/>
      <c r="S61" s="8"/>
      <c r="T61" s="8"/>
      <c r="U61" s="8"/>
    </row>
    <row r="62" spans="1:21" ht="31.9" customHeight="1">
      <c r="A62" s="3"/>
      <c r="B62" s="22"/>
      <c r="C62" s="405"/>
      <c r="D62" s="44" t="s">
        <v>167</v>
      </c>
      <c r="E62" s="68">
        <f>E59*D41</f>
        <v>21575748600</v>
      </c>
      <c r="F62" s="68">
        <f>F59*E41</f>
        <v>23973054000</v>
      </c>
      <c r="G62" s="68">
        <f>G59*F41</f>
        <v>25342942800</v>
      </c>
      <c r="H62" s="43"/>
      <c r="I62" s="43"/>
      <c r="J62" s="43"/>
      <c r="K62" s="12"/>
      <c r="L62" s="3"/>
    </row>
    <row r="63" spans="1:21" ht="31.9" customHeight="1">
      <c r="A63" s="3"/>
      <c r="B63" s="22"/>
      <c r="C63" s="405"/>
      <c r="D63" s="44" t="s">
        <v>168</v>
      </c>
      <c r="E63" s="69">
        <f>E62-E61</f>
        <v>21575748600</v>
      </c>
      <c r="F63" s="69">
        <f t="shared" ref="F63:G63" si="12">F62-F61</f>
        <v>23973054000</v>
      </c>
      <c r="G63" s="69">
        <f t="shared" si="12"/>
        <v>25342942800</v>
      </c>
      <c r="H63" s="43"/>
      <c r="I63" s="43"/>
      <c r="J63" s="43"/>
      <c r="K63" s="12"/>
      <c r="L63" s="56"/>
    </row>
    <row r="64" spans="1:21" ht="16.5" customHeight="1">
      <c r="A64" s="3"/>
      <c r="B64" s="22"/>
      <c r="C64" s="49"/>
      <c r="D64" s="49"/>
      <c r="E64" s="52"/>
      <c r="F64" s="52"/>
      <c r="G64" s="52"/>
      <c r="H64" s="43"/>
      <c r="I64" s="43"/>
      <c r="J64" s="43"/>
      <c r="K64" s="12"/>
      <c r="L64" s="3"/>
    </row>
    <row r="65" spans="1:16" ht="16.5" hidden="1" customHeight="1">
      <c r="A65" s="3"/>
      <c r="B65" s="48" t="s">
        <v>170</v>
      </c>
      <c r="C65" s="47"/>
      <c r="D65" s="43"/>
      <c r="E65" s="43"/>
      <c r="F65" s="43"/>
      <c r="G65" s="3"/>
      <c r="H65" s="43"/>
      <c r="I65" s="43"/>
      <c r="J65" s="43"/>
      <c r="K65" s="12"/>
      <c r="L65" s="3"/>
    </row>
    <row r="66" spans="1:16" ht="16.5" hidden="1" customHeight="1">
      <c r="A66" s="3"/>
      <c r="B66" s="22"/>
      <c r="C66" s="406" t="s">
        <v>146</v>
      </c>
      <c r="D66" s="406"/>
      <c r="E66" s="70" t="s">
        <v>171</v>
      </c>
      <c r="F66" s="62" t="s">
        <v>172</v>
      </c>
      <c r="G66" s="70" t="s">
        <v>173</v>
      </c>
      <c r="H66" s="46"/>
      <c r="I66" s="43"/>
      <c r="J66" s="43"/>
      <c r="K66" s="12"/>
      <c r="L66" s="3"/>
      <c r="M66" s="1"/>
      <c r="N66" s="1"/>
      <c r="O66" s="1"/>
      <c r="P66" s="1"/>
    </row>
    <row r="67" spans="1:16" ht="16.5" hidden="1" customHeight="1">
      <c r="A67" s="3"/>
      <c r="B67" s="22"/>
      <c r="C67" s="406"/>
      <c r="D67" s="406"/>
      <c r="E67" s="62" t="s">
        <v>174</v>
      </c>
      <c r="F67" s="62" t="s">
        <v>175</v>
      </c>
      <c r="G67" s="62" t="s">
        <v>174</v>
      </c>
      <c r="H67" s="46"/>
      <c r="I67" s="43"/>
      <c r="J67" s="43"/>
      <c r="K67" s="12"/>
      <c r="L67" s="3"/>
      <c r="M67" s="1"/>
      <c r="N67" s="1"/>
      <c r="O67" s="1"/>
      <c r="P67" s="1"/>
    </row>
    <row r="68" spans="1:16" ht="16.5" hidden="1" customHeight="1">
      <c r="A68" s="3"/>
      <c r="B68" s="22"/>
      <c r="C68" s="405" t="s">
        <v>165</v>
      </c>
      <c r="D68" s="44" t="s">
        <v>166</v>
      </c>
      <c r="E68" s="67">
        <f>Cost_treatment!D30</f>
        <v>0</v>
      </c>
      <c r="F68" s="67">
        <f>Cost_treatment!E30</f>
        <v>0</v>
      </c>
      <c r="G68" s="67">
        <f>Cost_treatment!F30</f>
        <v>0</v>
      </c>
      <c r="H68" s="43"/>
      <c r="I68" s="43"/>
      <c r="J68" s="43"/>
      <c r="K68" s="12"/>
      <c r="L68" s="3"/>
      <c r="M68" s="3"/>
    </row>
    <row r="69" spans="1:16" ht="16.5" hidden="1" customHeight="1">
      <c r="A69" s="3"/>
      <c r="B69" s="22"/>
      <c r="C69" s="405"/>
      <c r="D69" s="44" t="s">
        <v>167</v>
      </c>
      <c r="E69" s="68" t="e">
        <v>#VALUE!</v>
      </c>
      <c r="F69" s="68">
        <v>0</v>
      </c>
      <c r="G69" s="68" t="e">
        <v>#VALUE!</v>
      </c>
      <c r="H69" s="43"/>
      <c r="I69" s="43"/>
      <c r="J69" s="43"/>
      <c r="K69" s="12"/>
      <c r="L69" s="3"/>
      <c r="M69" s="3"/>
    </row>
    <row r="70" spans="1:16" ht="16.5" hidden="1" customHeight="1">
      <c r="A70" s="3"/>
      <c r="B70" s="22"/>
      <c r="C70" s="405"/>
      <c r="D70" s="44" t="s">
        <v>168</v>
      </c>
      <c r="E70" s="69" t="e">
        <f>SUM(E69:F69)-SUM(E68:F68)</f>
        <v>#VALUE!</v>
      </c>
      <c r="F70" s="69"/>
      <c r="G70" s="69" t="e">
        <f t="shared" ref="G70" si="13">SUM(G69:H69)-SUM(G68:H68)</f>
        <v>#VALUE!</v>
      </c>
      <c r="H70" s="43"/>
      <c r="I70" s="43"/>
      <c r="J70" s="43"/>
      <c r="K70" s="12"/>
      <c r="L70" s="3"/>
      <c r="M70" s="3"/>
    </row>
    <row r="71" spans="1:16" ht="16.5" hidden="1" customHeight="1">
      <c r="A71" s="3"/>
      <c r="B71" s="22"/>
      <c r="C71" s="405" t="s">
        <v>169</v>
      </c>
      <c r="D71" s="44" t="s">
        <v>166</v>
      </c>
      <c r="E71" s="68" t="e">
        <v>#REF!</v>
      </c>
      <c r="F71" s="68">
        <v>0</v>
      </c>
      <c r="G71" s="68" t="e">
        <v>#REF!</v>
      </c>
      <c r="H71" s="43"/>
      <c r="I71" s="43"/>
      <c r="J71" s="43"/>
      <c r="K71" s="12"/>
      <c r="L71" s="3"/>
      <c r="M71" s="3"/>
    </row>
    <row r="72" spans="1:16" ht="16.5" hidden="1" customHeight="1">
      <c r="A72" s="3"/>
      <c r="B72" s="22"/>
      <c r="C72" s="405"/>
      <c r="D72" s="44" t="s">
        <v>167</v>
      </c>
      <c r="E72" s="68" t="e">
        <v>#REF!</v>
      </c>
      <c r="F72" s="68">
        <v>0</v>
      </c>
      <c r="G72" s="68" t="e">
        <v>#REF!</v>
      </c>
      <c r="H72" s="43"/>
      <c r="I72" s="43"/>
      <c r="J72" s="43"/>
      <c r="K72" s="12"/>
      <c r="L72" s="3"/>
      <c r="M72" s="3"/>
    </row>
    <row r="73" spans="1:16" ht="16.5" hidden="1" customHeight="1">
      <c r="A73" s="3"/>
      <c r="B73" s="22"/>
      <c r="C73" s="405"/>
      <c r="D73" s="44" t="s">
        <v>168</v>
      </c>
      <c r="E73" s="69" t="e">
        <f>SUM(E72:F72)-SUM(E71:F71)</f>
        <v>#REF!</v>
      </c>
      <c r="F73" s="69"/>
      <c r="G73" s="69" t="e">
        <f t="shared" ref="G73" si="14">SUM(G72:H72)-SUM(G71:H71)</f>
        <v>#REF!</v>
      </c>
      <c r="H73" s="43"/>
      <c r="I73" s="43"/>
      <c r="J73" s="43"/>
      <c r="K73" s="12"/>
      <c r="L73" s="3"/>
      <c r="M73" s="3"/>
    </row>
    <row r="74" spans="1:16" ht="16.5" hidden="1" customHeight="1">
      <c r="A74" s="3"/>
      <c r="B74" s="22"/>
      <c r="C74" s="49"/>
      <c r="D74" s="49"/>
      <c r="E74" s="52"/>
      <c r="F74" s="52"/>
      <c r="G74" s="52"/>
      <c r="H74" s="43"/>
      <c r="I74" s="43"/>
      <c r="J74" s="43"/>
      <c r="K74" s="12"/>
      <c r="L74" s="3"/>
      <c r="M74" s="1"/>
      <c r="N74" s="1"/>
      <c r="O74" s="1"/>
      <c r="P74" s="1"/>
    </row>
    <row r="75" spans="1:16" ht="16.5" customHeight="1">
      <c r="A75" s="12"/>
      <c r="B75" s="12"/>
      <c r="C75" s="12"/>
      <c r="D75" s="12"/>
      <c r="E75" s="138"/>
      <c r="F75" s="12"/>
      <c r="G75" s="12"/>
      <c r="H75" s="12"/>
      <c r="I75" s="12"/>
      <c r="J75" s="12"/>
      <c r="K75" s="12"/>
      <c r="L75" s="12"/>
      <c r="M75" s="3"/>
    </row>
    <row r="76" spans="1:16">
      <c r="A76" s="6"/>
      <c r="B76" s="6"/>
      <c r="C76" s="6"/>
      <c r="D76" s="6"/>
      <c r="E76" s="139"/>
      <c r="F76" s="6"/>
      <c r="G76" s="6"/>
      <c r="H76" s="6"/>
    </row>
    <row r="78" spans="1:16">
      <c r="F78" s="9"/>
    </row>
    <row r="81" spans="6:6">
      <c r="F81" s="10"/>
    </row>
    <row r="82" spans="6:6">
      <c r="F82" s="10"/>
    </row>
    <row r="83" spans="6:6">
      <c r="F83" s="10"/>
    </row>
    <row r="84" spans="6:6">
      <c r="F84" s="10"/>
    </row>
    <row r="85" spans="6:6">
      <c r="F85" s="10"/>
    </row>
    <row r="86" spans="6:6">
      <c r="F86" s="10"/>
    </row>
    <row r="87" spans="6:6">
      <c r="F87" s="10"/>
    </row>
    <row r="88" spans="6:6">
      <c r="F88" s="10"/>
    </row>
    <row r="89" spans="6:6">
      <c r="F89" s="10"/>
    </row>
    <row r="90" spans="6:6">
      <c r="F90" s="10"/>
    </row>
    <row r="91" spans="6:6">
      <c r="F91" s="10"/>
    </row>
    <row r="92" spans="6:6">
      <c r="F92" s="10"/>
    </row>
    <row r="93" spans="6:6">
      <c r="F93" s="10"/>
    </row>
    <row r="94" spans="6:6">
      <c r="F94" s="10"/>
    </row>
    <row r="95" spans="6:6">
      <c r="F95" s="10"/>
    </row>
    <row r="96" spans="6:6">
      <c r="F96" s="10"/>
    </row>
    <row r="97" spans="6:6">
      <c r="F97" s="10"/>
    </row>
    <row r="98" spans="6:6">
      <c r="F98" s="10"/>
    </row>
  </sheetData>
  <mergeCells count="37">
    <mergeCell ref="C71:C73"/>
    <mergeCell ref="C61:C63"/>
    <mergeCell ref="C66:D67"/>
    <mergeCell ref="C57:D57"/>
    <mergeCell ref="C58:C60"/>
    <mergeCell ref="C34:C35"/>
    <mergeCell ref="C50:D51"/>
    <mergeCell ref="C36:C37"/>
    <mergeCell ref="C52:D52"/>
    <mergeCell ref="C68:C70"/>
    <mergeCell ref="K32:L32"/>
    <mergeCell ref="M29:P29"/>
    <mergeCell ref="M30:N30"/>
    <mergeCell ref="O30:P30"/>
    <mergeCell ref="C32:D33"/>
    <mergeCell ref="C31:D31"/>
    <mergeCell ref="M32:N32"/>
    <mergeCell ref="O32:P32"/>
    <mergeCell ref="C29:D30"/>
    <mergeCell ref="I31:J31"/>
    <mergeCell ref="I32:J32"/>
    <mergeCell ref="E31:F31"/>
    <mergeCell ref="G31:H31"/>
    <mergeCell ref="E32:F32"/>
    <mergeCell ref="G32:H32"/>
    <mergeCell ref="I30:J30"/>
    <mergeCell ref="O31:P31"/>
    <mergeCell ref="K31:L31"/>
    <mergeCell ref="D17:E17"/>
    <mergeCell ref="D18:E18"/>
    <mergeCell ref="D19:E19"/>
    <mergeCell ref="M31:N31"/>
    <mergeCell ref="E30:F30"/>
    <mergeCell ref="E29:H29"/>
    <mergeCell ref="G30:H30"/>
    <mergeCell ref="I29:L29"/>
    <mergeCell ref="K30:L30"/>
  </mergeCells>
  <phoneticPr fontId="5" type="noConversion"/>
  <pageMargins left="0.7" right="0.7" top="0.75" bottom="0.75" header="0.3" footer="0.3"/>
  <pageSetup paperSize="9" orientation="portrait" r:id="rId1"/>
  <headerFooter>
    <oddHeader>&amp;L&amp;"Calibri"&amp;12&amp;K8E6A00 기밀-Confidential&amp;1#_x000D_</oddHeader>
  </headerFooter>
  <ignoredErrors>
    <ignoredError sqref="F34:K35 O34 O35 M34 M35 L34 L35 N35 N34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9F15-1010-45B3-AC2F-65411EA4A3EC}">
  <dimension ref="B2:T62"/>
  <sheetViews>
    <sheetView showGridLines="0" zoomScaleNormal="100" workbookViewId="0">
      <selection activeCell="M30" sqref="M30"/>
    </sheetView>
  </sheetViews>
  <sheetFormatPr defaultColWidth="9" defaultRowHeight="15"/>
  <cols>
    <col min="1" max="1" width="14.7109375" style="97" bestFit="1" customWidth="1"/>
    <col min="2" max="2" width="14" style="97" customWidth="1"/>
    <col min="3" max="12" width="9.7109375" style="97" customWidth="1"/>
    <col min="13" max="13" width="27.140625" style="97" customWidth="1"/>
    <col min="14" max="14" width="30.7109375" style="97" customWidth="1"/>
    <col min="15" max="15" width="35.5703125" style="97" customWidth="1"/>
    <col min="16" max="16" width="9" style="97"/>
    <col min="17" max="18" width="18.5703125" style="97" customWidth="1"/>
    <col min="19" max="16384" width="9" style="97"/>
  </cols>
  <sheetData>
    <row r="2" spans="2:20">
      <c r="B2" s="152" t="s">
        <v>176</v>
      </c>
      <c r="M2" s="97" t="s">
        <v>177</v>
      </c>
      <c r="Q2" s="407" t="s">
        <v>316</v>
      </c>
      <c r="R2" s="407"/>
      <c r="S2" s="153"/>
      <c r="T2" s="153"/>
    </row>
    <row r="3" spans="2:20" ht="15.75" thickBot="1">
      <c r="B3" s="89" t="s">
        <v>336</v>
      </c>
      <c r="C3" s="89"/>
      <c r="D3" s="89"/>
      <c r="E3" s="89"/>
      <c r="F3" s="89"/>
      <c r="G3" s="89"/>
      <c r="H3" s="89"/>
      <c r="I3" s="89"/>
      <c r="J3" s="149"/>
      <c r="K3" s="149"/>
      <c r="L3" s="149"/>
      <c r="M3" s="89" t="s">
        <v>178</v>
      </c>
      <c r="N3" s="89"/>
      <c r="O3" s="89"/>
      <c r="Q3" s="89" t="s">
        <v>179</v>
      </c>
      <c r="R3" s="89"/>
    </row>
    <row r="4" spans="2:20" ht="15.75" thickTop="1">
      <c r="C4" s="97" t="s">
        <v>181</v>
      </c>
    </row>
    <row r="5" spans="2:20" ht="37.15" customHeight="1">
      <c r="B5" s="150"/>
      <c r="C5" s="150"/>
      <c r="D5" s="150" t="s">
        <v>182</v>
      </c>
      <c r="E5" s="150" t="s">
        <v>183</v>
      </c>
      <c r="F5" s="150" t="s">
        <v>184</v>
      </c>
      <c r="G5" s="150" t="s">
        <v>185</v>
      </c>
      <c r="H5" s="150" t="s">
        <v>186</v>
      </c>
      <c r="I5" s="150" t="s">
        <v>187</v>
      </c>
      <c r="J5" s="150" t="s">
        <v>188</v>
      </c>
      <c r="K5" s="150" t="s">
        <v>189</v>
      </c>
      <c r="L5" s="151"/>
      <c r="M5" s="162" t="s">
        <v>190</v>
      </c>
      <c r="N5" s="162" t="s">
        <v>191</v>
      </c>
      <c r="O5" s="162" t="s">
        <v>192</v>
      </c>
      <c r="Q5" s="180" t="s">
        <v>193</v>
      </c>
      <c r="R5" s="180" t="s">
        <v>194</v>
      </c>
    </row>
    <row r="6" spans="2:20">
      <c r="B6" s="150" t="s">
        <v>196</v>
      </c>
      <c r="C6" s="150" t="s">
        <v>197</v>
      </c>
      <c r="D6" s="150" t="s">
        <v>198</v>
      </c>
      <c r="E6" s="150" t="s">
        <v>153</v>
      </c>
      <c r="F6" s="150" t="s">
        <v>153</v>
      </c>
      <c r="G6" s="150" t="s">
        <v>153</v>
      </c>
      <c r="H6" s="150" t="s">
        <v>153</v>
      </c>
      <c r="I6" s="150" t="s">
        <v>153</v>
      </c>
      <c r="J6" s="150" t="s">
        <v>153</v>
      </c>
      <c r="K6" s="150" t="s">
        <v>153</v>
      </c>
      <c r="L6" s="151"/>
      <c r="M6" s="163" t="s">
        <v>199</v>
      </c>
      <c r="N6" s="164">
        <v>0.3</v>
      </c>
      <c r="O6" s="165" t="s">
        <v>200</v>
      </c>
      <c r="Q6" s="181" t="s">
        <v>121</v>
      </c>
      <c r="R6" s="213">
        <v>1351.85</v>
      </c>
    </row>
    <row r="7" spans="2:20" ht="30">
      <c r="B7" s="303" t="s">
        <v>201</v>
      </c>
      <c r="C7" s="303" t="s">
        <v>202</v>
      </c>
      <c r="D7" s="303" t="s">
        <v>202</v>
      </c>
      <c r="E7" s="303">
        <v>951</v>
      </c>
      <c r="F7" s="304">
        <v>1005</v>
      </c>
      <c r="G7" s="304">
        <v>1055</v>
      </c>
      <c r="H7" s="304">
        <v>1125</v>
      </c>
      <c r="I7" s="304">
        <v>1142</v>
      </c>
      <c r="J7" s="304">
        <v>1286</v>
      </c>
      <c r="K7" s="304">
        <v>1333</v>
      </c>
      <c r="L7" s="151"/>
      <c r="M7" s="166" t="s">
        <v>203</v>
      </c>
      <c r="N7" s="167"/>
      <c r="O7" s="168"/>
      <c r="Q7" s="181" t="s">
        <v>127</v>
      </c>
      <c r="R7" s="213">
        <v>1457.84</v>
      </c>
    </row>
    <row r="8" spans="2:20">
      <c r="L8" s="151"/>
      <c r="M8" s="169" t="s">
        <v>204</v>
      </c>
      <c r="N8" s="170">
        <v>0.49</v>
      </c>
      <c r="O8" s="171" t="s">
        <v>205</v>
      </c>
      <c r="Q8" s="181" t="s">
        <v>125</v>
      </c>
      <c r="R8" s="213">
        <v>915.59</v>
      </c>
    </row>
    <row r="9" spans="2:20">
      <c r="L9" s="151"/>
      <c r="M9" s="172" t="s">
        <v>206</v>
      </c>
      <c r="N9" s="170">
        <v>0.27</v>
      </c>
      <c r="O9" s="171" t="s">
        <v>207</v>
      </c>
      <c r="Q9" s="181" t="s">
        <v>208</v>
      </c>
      <c r="R9" s="213">
        <v>188.06</v>
      </c>
    </row>
    <row r="10" spans="2:20">
      <c r="L10" s="151"/>
      <c r="M10" s="172" t="s">
        <v>209</v>
      </c>
      <c r="N10" s="170">
        <v>0.16</v>
      </c>
      <c r="O10" s="171" t="s">
        <v>210</v>
      </c>
      <c r="Q10" s="181" t="s">
        <v>118</v>
      </c>
      <c r="R10" s="213">
        <v>1707.75</v>
      </c>
    </row>
    <row r="11" spans="2:20">
      <c r="L11" s="151"/>
      <c r="M11" s="173" t="s">
        <v>211</v>
      </c>
      <c r="N11" s="174">
        <v>0.04</v>
      </c>
      <c r="O11" s="175" t="s">
        <v>212</v>
      </c>
      <c r="Q11" s="181" t="s">
        <v>123</v>
      </c>
      <c r="R11" s="213">
        <v>988.63</v>
      </c>
    </row>
    <row r="12" spans="2:20" ht="18.75" customHeight="1">
      <c r="L12" s="151"/>
      <c r="M12" s="163" t="s">
        <v>213</v>
      </c>
      <c r="N12" s="164">
        <v>0.1</v>
      </c>
      <c r="O12" s="165" t="s">
        <v>214</v>
      </c>
      <c r="Q12" s="181" t="s">
        <v>131</v>
      </c>
      <c r="R12" s="213">
        <v>1522.62</v>
      </c>
    </row>
    <row r="13" spans="2:20">
      <c r="L13" s="151"/>
      <c r="M13" s="151"/>
      <c r="N13" s="151"/>
    </row>
    <row r="14" spans="2:20">
      <c r="B14" s="152" t="s">
        <v>215</v>
      </c>
      <c r="L14" s="151"/>
      <c r="M14" s="151"/>
      <c r="N14" s="151"/>
    </row>
    <row r="15" spans="2:20" ht="15.75" thickBot="1">
      <c r="B15" s="89" t="s">
        <v>216</v>
      </c>
      <c r="C15" s="89"/>
      <c r="D15" s="89"/>
      <c r="E15" s="89"/>
      <c r="F15" s="89"/>
      <c r="G15" s="89"/>
      <c r="H15" s="89"/>
      <c r="I15" s="89"/>
      <c r="J15" s="149"/>
      <c r="K15" s="149"/>
      <c r="L15" s="151"/>
      <c r="M15" s="151"/>
      <c r="N15" s="151"/>
    </row>
    <row r="16" spans="2:20" ht="15.75" thickTop="1">
      <c r="L16" s="151"/>
    </row>
    <row r="17" spans="2:12">
      <c r="B17" s="286" t="s">
        <v>216</v>
      </c>
      <c r="C17" s="288">
        <v>1</v>
      </c>
      <c r="D17" s="288">
        <v>2</v>
      </c>
      <c r="E17" s="288">
        <v>3</v>
      </c>
      <c r="F17" s="288">
        <v>4</v>
      </c>
      <c r="G17" s="288">
        <v>5</v>
      </c>
      <c r="L17" s="151"/>
    </row>
    <row r="18" spans="2:12">
      <c r="B18" s="23" t="s">
        <v>274</v>
      </c>
      <c r="C18" s="289">
        <v>0.93442622950819676</v>
      </c>
      <c r="D18" s="289">
        <v>0.86885245901639341</v>
      </c>
      <c r="E18" s="289">
        <v>0.72131147540983609</v>
      </c>
      <c r="F18" s="289">
        <v>0.5901639344262295</v>
      </c>
      <c r="G18" s="289">
        <v>0.55737704918032782</v>
      </c>
      <c r="L18" s="151"/>
    </row>
    <row r="19" spans="2:12">
      <c r="B19" s="283"/>
      <c r="C19" s="284"/>
      <c r="D19" s="284"/>
      <c r="E19" s="284"/>
      <c r="F19" s="284"/>
      <c r="G19" s="284"/>
      <c r="H19" s="284"/>
      <c r="I19" s="284"/>
      <c r="J19" s="284"/>
      <c r="K19" s="284"/>
      <c r="L19" s="151"/>
    </row>
    <row r="20" spans="2:12">
      <c r="L20" s="151"/>
    </row>
    <row r="21" spans="2:12">
      <c r="B21" s="152" t="s">
        <v>313</v>
      </c>
      <c r="L21" s="151"/>
    </row>
    <row r="22" spans="2:12" ht="15.75" thickBot="1">
      <c r="B22" s="89" t="s">
        <v>314</v>
      </c>
      <c r="C22" s="89"/>
      <c r="D22" s="89"/>
      <c r="E22" s="89"/>
      <c r="F22" s="89"/>
      <c r="G22" s="89"/>
      <c r="H22" s="89"/>
      <c r="I22" s="89"/>
      <c r="L22" s="151"/>
    </row>
    <row r="23" spans="2:12" ht="15.75" thickTop="1">
      <c r="L23" s="151"/>
    </row>
    <row r="24" spans="2:12" ht="36">
      <c r="B24" s="319" t="s">
        <v>141</v>
      </c>
      <c r="C24" s="287" t="s">
        <v>300</v>
      </c>
      <c r="D24" s="287" t="s">
        <v>301</v>
      </c>
      <c r="E24" s="287" t="s">
        <v>302</v>
      </c>
      <c r="F24"/>
      <c r="G24"/>
      <c r="H24"/>
      <c r="I24"/>
      <c r="J24"/>
      <c r="K24"/>
      <c r="L24" s="151"/>
    </row>
    <row r="25" spans="2:12">
      <c r="B25" s="320" t="s">
        <v>297</v>
      </c>
      <c r="C25" s="321">
        <v>4.5999999999999999E-2</v>
      </c>
      <c r="D25" s="321">
        <v>0.21</v>
      </c>
      <c r="E25" s="321">
        <v>0.42</v>
      </c>
      <c r="F25"/>
      <c r="G25"/>
      <c r="H25"/>
      <c r="I25"/>
      <c r="J25"/>
      <c r="K25"/>
      <c r="L25" s="151"/>
    </row>
    <row r="26" spans="2:12">
      <c r="B26" s="320" t="s">
        <v>298</v>
      </c>
      <c r="C26" s="321">
        <v>6.7000000000000004E-2</v>
      </c>
      <c r="D26" s="321">
        <v>0.28499999999999998</v>
      </c>
      <c r="E26" s="321">
        <v>0.47099999999999997</v>
      </c>
      <c r="F26"/>
      <c r="G26"/>
      <c r="H26"/>
      <c r="I26"/>
      <c r="J26"/>
      <c r="K26"/>
      <c r="L26" s="151"/>
    </row>
    <row r="27" spans="2:12">
      <c r="B27" s="320" t="s">
        <v>299</v>
      </c>
      <c r="C27" s="321">
        <v>0</v>
      </c>
      <c r="D27" s="321">
        <v>0.05</v>
      </c>
      <c r="E27" s="321">
        <v>0.11799999999999999</v>
      </c>
      <c r="F27"/>
      <c r="G27"/>
      <c r="H27"/>
      <c r="I27"/>
      <c r="J27"/>
      <c r="K27"/>
      <c r="L27" s="151"/>
    </row>
    <row r="28" spans="2:12">
      <c r="B28"/>
      <c r="C28"/>
      <c r="D28"/>
      <c r="E28"/>
      <c r="F28"/>
      <c r="G28"/>
      <c r="H28"/>
      <c r="I28"/>
      <c r="J28"/>
      <c r="K28"/>
      <c r="L28" s="151"/>
    </row>
    <row r="29" spans="2:12">
      <c r="L29" s="151"/>
    </row>
    <row r="30" spans="2:12" ht="24">
      <c r="B30" s="319" t="s">
        <v>141</v>
      </c>
      <c r="C30" s="287" t="s">
        <v>303</v>
      </c>
      <c r="D30" s="287" t="s">
        <v>312</v>
      </c>
      <c r="E30" s="287" t="s">
        <v>304</v>
      </c>
      <c r="F30" s="287" t="s">
        <v>305</v>
      </c>
      <c r="G30" s="287" t="s">
        <v>306</v>
      </c>
      <c r="H30" s="287" t="s">
        <v>307</v>
      </c>
      <c r="I30" s="287" t="s">
        <v>308</v>
      </c>
      <c r="J30" s="287" t="s">
        <v>309</v>
      </c>
      <c r="K30" s="287" t="s">
        <v>310</v>
      </c>
      <c r="L30" s="287" t="s">
        <v>311</v>
      </c>
    </row>
    <row r="31" spans="2:12">
      <c r="B31" s="320" t="s">
        <v>297</v>
      </c>
      <c r="C31" s="290">
        <v>0.52</v>
      </c>
      <c r="D31" s="291">
        <f>C31/$C$34</f>
        <v>0.38235294117647056</v>
      </c>
      <c r="E31" s="292">
        <v>4.5999999999999999E-2</v>
      </c>
      <c r="F31" s="292">
        <v>4.5999999999999999E-2</v>
      </c>
      <c r="G31" s="292">
        <v>4.4999999999999998E-2</v>
      </c>
      <c r="H31" s="292">
        <v>4.5999999999999999E-2</v>
      </c>
      <c r="I31" s="292">
        <v>4.5999999999999999E-2</v>
      </c>
      <c r="J31" s="292">
        <v>6.0999999999999999E-2</v>
      </c>
      <c r="K31" s="292">
        <v>6.0999999999999999E-2</v>
      </c>
      <c r="L31" s="292">
        <v>0.06</v>
      </c>
    </row>
    <row r="32" spans="2:12">
      <c r="B32" s="320" t="s">
        <v>298</v>
      </c>
      <c r="C32" s="290">
        <v>0.76</v>
      </c>
      <c r="D32" s="291">
        <f>C32/$C$34</f>
        <v>0.55882352941176472</v>
      </c>
      <c r="E32" s="292">
        <v>6.7000000000000004E-2</v>
      </c>
      <c r="F32" s="292">
        <v>6.6000000000000003E-2</v>
      </c>
      <c r="G32" s="292">
        <v>6.5000000000000002E-2</v>
      </c>
      <c r="H32" s="292">
        <v>6.4000000000000001E-2</v>
      </c>
      <c r="I32" s="292">
        <v>6.3E-2</v>
      </c>
      <c r="J32" s="292">
        <v>0.06</v>
      </c>
      <c r="K32" s="292">
        <v>6.0999999999999999E-2</v>
      </c>
      <c r="L32" s="292">
        <v>5.8999999999999997E-2</v>
      </c>
    </row>
    <row r="33" spans="2:14">
      <c r="B33" s="320" t="s">
        <v>299</v>
      </c>
      <c r="C33" s="290">
        <v>0.08</v>
      </c>
      <c r="D33" s="291">
        <f>C33/$C$34</f>
        <v>5.8823529411764705E-2</v>
      </c>
      <c r="E33" s="292">
        <v>0</v>
      </c>
      <c r="F33" s="292">
        <v>2.5000000000000001E-2</v>
      </c>
      <c r="G33" s="292">
        <v>2.5999999999999999E-2</v>
      </c>
      <c r="H33" s="292">
        <v>0</v>
      </c>
      <c r="I33" s="292">
        <v>0</v>
      </c>
      <c r="J33" s="292">
        <v>1.4E-2</v>
      </c>
      <c r="K33" s="292">
        <v>1.4E-2</v>
      </c>
      <c r="L33" s="292">
        <v>1.4E-2</v>
      </c>
    </row>
    <row r="34" spans="2:14">
      <c r="C34" s="285">
        <v>1.36</v>
      </c>
      <c r="D34" s="285">
        <f>SUM(D31:D33)</f>
        <v>1</v>
      </c>
      <c r="E34" s="251">
        <f t="shared" ref="E34:L34" si="0">$D$31*E31+$D$32*E32+$D$33*E33</f>
        <v>5.5029411764705882E-2</v>
      </c>
      <c r="F34" s="251">
        <f t="shared" si="0"/>
        <v>5.5941176470588237E-2</v>
      </c>
      <c r="G34" s="251">
        <f t="shared" si="0"/>
        <v>5.5058823529411764E-2</v>
      </c>
      <c r="H34" s="251">
        <f t="shared" si="0"/>
        <v>5.3352941176470589E-2</v>
      </c>
      <c r="I34" s="251">
        <f t="shared" si="0"/>
        <v>5.2794117647058825E-2</v>
      </c>
      <c r="J34" s="251">
        <f t="shared" si="0"/>
        <v>5.7676470588235301E-2</v>
      </c>
      <c r="K34" s="251">
        <f t="shared" si="0"/>
        <v>5.8235294117647066E-2</v>
      </c>
      <c r="L34" s="251">
        <f t="shared" si="0"/>
        <v>5.6735294117647064E-2</v>
      </c>
    </row>
    <row r="35" spans="2:14">
      <c r="L35" s="151"/>
    </row>
    <row r="36" spans="2:14">
      <c r="L36" s="151"/>
    </row>
    <row r="37" spans="2:14">
      <c r="B37" s="153" t="s">
        <v>347</v>
      </c>
      <c r="C37" s="153"/>
      <c r="D37" s="153"/>
      <c r="E37" s="153"/>
      <c r="L37" s="151"/>
      <c r="M37" s="151"/>
    </row>
    <row r="38" spans="2:14" ht="15.75" thickBot="1">
      <c r="B38" s="89" t="s">
        <v>180</v>
      </c>
      <c r="C38" s="89"/>
      <c r="D38" s="89"/>
      <c r="E38" s="89"/>
      <c r="F38" s="89"/>
      <c r="G38" s="89"/>
      <c r="H38" s="89"/>
      <c r="I38" s="89"/>
      <c r="J38" s="89"/>
      <c r="K38" s="89"/>
      <c r="L38" s="151"/>
      <c r="M38" s="151"/>
    </row>
    <row r="39" spans="2:14" ht="15.75" thickTop="1">
      <c r="B39" s="149"/>
      <c r="C39" s="149"/>
      <c r="D39" s="149"/>
      <c r="E39" s="149"/>
      <c r="L39" s="151"/>
      <c r="M39" s="151"/>
    </row>
    <row r="40" spans="2:14" ht="15" customHeight="1">
      <c r="B40" s="408" t="s">
        <v>354</v>
      </c>
      <c r="C40" s="409"/>
      <c r="D40" s="410"/>
      <c r="E40" s="232"/>
      <c r="F40" s="414" t="s">
        <v>355</v>
      </c>
      <c r="G40" s="414"/>
      <c r="H40" s="414"/>
      <c r="I40" s="414"/>
      <c r="L40" s="151"/>
      <c r="M40" s="151"/>
    </row>
    <row r="41" spans="2:14">
      <c r="B41" s="287" t="s">
        <v>337</v>
      </c>
      <c r="C41" s="287" t="s">
        <v>338</v>
      </c>
      <c r="D41" s="287" t="s">
        <v>339</v>
      </c>
      <c r="F41" s="415" t="s">
        <v>350</v>
      </c>
      <c r="G41" s="415"/>
      <c r="H41" s="287" t="s">
        <v>153</v>
      </c>
      <c r="I41" s="287" t="s">
        <v>356</v>
      </c>
      <c r="J41" s="151"/>
      <c r="L41" s="151"/>
      <c r="M41" s="151"/>
      <c r="N41" s="151"/>
    </row>
    <row r="42" spans="2:14" ht="30" customHeight="1">
      <c r="B42" s="305" t="s">
        <v>340</v>
      </c>
      <c r="C42" s="306">
        <v>77</v>
      </c>
      <c r="D42" s="307">
        <f t="shared" ref="D42:D48" si="1">C42/220</f>
        <v>0.35</v>
      </c>
      <c r="F42" s="411" t="s">
        <v>195</v>
      </c>
      <c r="G42" s="411"/>
      <c r="H42" s="239">
        <f>SUM(C42,C43,C46,C47)</f>
        <v>146</v>
      </c>
      <c r="I42" s="304">
        <v>1</v>
      </c>
      <c r="J42" s="151"/>
      <c r="K42" s="309" t="s">
        <v>357</v>
      </c>
      <c r="L42" s="151"/>
      <c r="M42" s="151"/>
      <c r="N42" s="151"/>
    </row>
    <row r="43" spans="2:14" ht="30" customHeight="1">
      <c r="B43" s="305" t="s">
        <v>341</v>
      </c>
      <c r="C43" s="306">
        <v>43</v>
      </c>
      <c r="D43" s="307">
        <f t="shared" si="1"/>
        <v>0.19545454545454546</v>
      </c>
      <c r="F43" s="411" t="s">
        <v>348</v>
      </c>
      <c r="G43" s="411"/>
      <c r="H43" s="239">
        <f>SUM(C42,C43,C44,C45)</f>
        <v>190</v>
      </c>
      <c r="I43" s="304">
        <v>1</v>
      </c>
      <c r="J43" s="151"/>
      <c r="K43" s="97">
        <f>SUM(H42:H44)-SUM(H45:H47)+H48</f>
        <v>220</v>
      </c>
      <c r="L43" s="151"/>
      <c r="M43" s="151"/>
      <c r="N43" s="151"/>
    </row>
    <row r="44" spans="2:14" ht="30" customHeight="1">
      <c r="B44" s="305" t="s">
        <v>342</v>
      </c>
      <c r="C44" s="306">
        <v>39</v>
      </c>
      <c r="D44" s="307">
        <f t="shared" si="1"/>
        <v>0.17727272727272728</v>
      </c>
      <c r="F44" s="411" t="s">
        <v>349</v>
      </c>
      <c r="G44" s="411"/>
      <c r="H44" s="239">
        <f>SUM(C42,C45,C47,C48)</f>
        <v>122</v>
      </c>
      <c r="I44" s="304">
        <v>1</v>
      </c>
      <c r="J44" s="151"/>
      <c r="K44" s="310" t="s">
        <v>358</v>
      </c>
      <c r="L44" s="151"/>
      <c r="M44" s="151"/>
      <c r="N44" s="151"/>
    </row>
    <row r="45" spans="2:14" ht="30" customHeight="1">
      <c r="B45" s="305" t="s">
        <v>343</v>
      </c>
      <c r="C45" s="306">
        <v>31</v>
      </c>
      <c r="D45" s="307">
        <f t="shared" si="1"/>
        <v>0.1409090909090909</v>
      </c>
      <c r="F45" s="411" t="s">
        <v>351</v>
      </c>
      <c r="G45" s="411"/>
      <c r="H45" s="239">
        <f>SUM(C43,C42)</f>
        <v>120</v>
      </c>
      <c r="I45" s="304">
        <v>2</v>
      </c>
      <c r="J45" s="151"/>
      <c r="K45" s="97" t="s">
        <v>359</v>
      </c>
      <c r="L45" s="308">
        <f>SUM(H45:H47)/SUM(H42:H44)</f>
        <v>0.68777292576419213</v>
      </c>
    </row>
    <row r="46" spans="2:14" ht="30" customHeight="1">
      <c r="B46" s="305" t="s">
        <v>344</v>
      </c>
      <c r="C46" s="306">
        <v>16</v>
      </c>
      <c r="D46" s="307">
        <f t="shared" si="1"/>
        <v>7.2727272727272724E-2</v>
      </c>
      <c r="F46" s="411" t="s">
        <v>352</v>
      </c>
      <c r="G46" s="411"/>
      <c r="H46" s="239">
        <f>SUM(C47,C42)</f>
        <v>87</v>
      </c>
      <c r="I46" s="304">
        <v>2</v>
      </c>
      <c r="J46" s="151"/>
      <c r="K46" s="97" t="s">
        <v>360</v>
      </c>
      <c r="L46" s="308">
        <f>H48/SUM(H42:H44)</f>
        <v>0.16812227074235808</v>
      </c>
    </row>
    <row r="47" spans="2:14" ht="30">
      <c r="B47" s="305" t="s">
        <v>345</v>
      </c>
      <c r="C47" s="306">
        <v>10</v>
      </c>
      <c r="D47" s="307">
        <f t="shared" si="1"/>
        <v>4.5454545454545456E-2</v>
      </c>
      <c r="F47" s="412" t="s">
        <v>353</v>
      </c>
      <c r="G47" s="413"/>
      <c r="H47" s="239">
        <f>SUM(C42,C45)</f>
        <v>108</v>
      </c>
      <c r="I47" s="304">
        <v>2</v>
      </c>
      <c r="J47" s="151"/>
      <c r="K47" s="310" t="s">
        <v>361</v>
      </c>
    </row>
    <row r="48" spans="2:14" ht="30" customHeight="1">
      <c r="B48" s="305" t="s">
        <v>346</v>
      </c>
      <c r="C48" s="306">
        <v>4</v>
      </c>
      <c r="D48" s="307">
        <f t="shared" si="1"/>
        <v>1.8181818181818181E-2</v>
      </c>
      <c r="F48" s="412" t="s">
        <v>340</v>
      </c>
      <c r="G48" s="413"/>
      <c r="H48" s="239">
        <f>C42</f>
        <v>77</v>
      </c>
      <c r="I48" s="304">
        <v>3</v>
      </c>
      <c r="J48" s="151"/>
      <c r="K48" s="308"/>
    </row>
    <row r="49" spans="2:14">
      <c r="I49" s="151"/>
      <c r="J49" s="151"/>
    </row>
    <row r="50" spans="2:14">
      <c r="B50" s="153" t="s">
        <v>362</v>
      </c>
      <c r="I50" s="151"/>
      <c r="J50" s="151"/>
    </row>
    <row r="51" spans="2:14">
      <c r="I51" s="151"/>
      <c r="J51" s="151"/>
      <c r="M51" s="211"/>
    </row>
    <row r="52" spans="2:14" ht="31.5" customHeight="1">
      <c r="B52" s="314" t="s">
        <v>363</v>
      </c>
      <c r="C52" s="311">
        <v>50</v>
      </c>
      <c r="D52" s="97" t="s">
        <v>364</v>
      </c>
    </row>
    <row r="53" spans="2:14">
      <c r="B53" s="313" t="s">
        <v>195</v>
      </c>
      <c r="C53" s="315">
        <v>0.52</v>
      </c>
      <c r="D53" s="239">
        <f>C53*$C$52</f>
        <v>26</v>
      </c>
      <c r="F53" s="312">
        <f>D56*L45</f>
        <v>46.768558951965062</v>
      </c>
      <c r="G53" s="97" t="s">
        <v>365</v>
      </c>
    </row>
    <row r="54" spans="2:14">
      <c r="B54" s="313" t="s">
        <v>348</v>
      </c>
      <c r="C54" s="315">
        <v>0.76</v>
      </c>
      <c r="D54" s="239">
        <f>C54*$C$52</f>
        <v>38</v>
      </c>
      <c r="F54" s="312">
        <f>D56*L46</f>
        <v>11.43231441048035</v>
      </c>
      <c r="G54" s="97" t="s">
        <v>366</v>
      </c>
      <c r="L54" s="284"/>
    </row>
    <row r="55" spans="2:14">
      <c r="B55" s="313" t="s">
        <v>349</v>
      </c>
      <c r="C55" s="315">
        <v>0.08</v>
      </c>
      <c r="D55" s="239">
        <f>C55*$C$52</f>
        <v>4</v>
      </c>
      <c r="F55" s="312">
        <f>SUM(D53:D55)-F53+F54</f>
        <v>32.66375545851529</v>
      </c>
      <c r="G55" s="97" t="s">
        <v>367</v>
      </c>
    </row>
    <row r="56" spans="2:14">
      <c r="D56" s="239">
        <f>SUM(D53:D55)</f>
        <v>68</v>
      </c>
      <c r="F56" s="249">
        <f>F55/C52</f>
        <v>0.65327510917030585</v>
      </c>
      <c r="G56" s="97" t="s">
        <v>368</v>
      </c>
    </row>
    <row r="59" spans="2:14">
      <c r="L59"/>
      <c r="M59"/>
      <c r="N59"/>
    </row>
    <row r="60" spans="2:14">
      <c r="L60"/>
      <c r="M60"/>
      <c r="N60"/>
    </row>
    <row r="61" spans="2:14">
      <c r="L61"/>
      <c r="M61"/>
      <c r="N61"/>
    </row>
    <row r="62" spans="2:14">
      <c r="L62"/>
      <c r="M62"/>
      <c r="N62"/>
    </row>
  </sheetData>
  <mergeCells count="11">
    <mergeCell ref="Q2:R2"/>
    <mergeCell ref="B40:D40"/>
    <mergeCell ref="F46:G46"/>
    <mergeCell ref="F47:G47"/>
    <mergeCell ref="F48:G48"/>
    <mergeCell ref="F40:I40"/>
    <mergeCell ref="F41:G41"/>
    <mergeCell ref="F42:G42"/>
    <mergeCell ref="F43:G43"/>
    <mergeCell ref="F44:G44"/>
    <mergeCell ref="F45:G45"/>
  </mergeCells>
  <phoneticPr fontId="5" type="noConversion"/>
  <pageMargins left="0.7" right="0.7" top="0.75" bottom="0.75" header="0.3" footer="0.3"/>
  <pageSetup paperSize="9" orientation="portrait" r:id="rId1"/>
  <headerFooter>
    <oddHeader>&amp;L&amp;"Calibri"&amp;12&amp;K8E6A00 기밀-Confidential&amp;1#_x000D_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CBF9-B11B-4C21-A4F7-5A4107A5F13F}">
  <dimension ref="A1:B62"/>
  <sheetViews>
    <sheetView topLeftCell="A7" workbookViewId="0">
      <selection activeCell="A3" sqref="A3:B62"/>
    </sheetView>
  </sheetViews>
  <sheetFormatPr defaultRowHeight="15"/>
  <cols>
    <col min="1" max="2" width="15" style="232" bestFit="1" customWidth="1"/>
  </cols>
  <sheetData>
    <row r="1" spans="1:2">
      <c r="A1" s="416" t="s">
        <v>104</v>
      </c>
      <c r="B1" s="417"/>
    </row>
    <row r="3" spans="1:2">
      <c r="A3" s="267" t="s">
        <v>316</v>
      </c>
      <c r="B3" s="268"/>
    </row>
    <row r="4" spans="1:2">
      <c r="A4" s="293" t="s">
        <v>193</v>
      </c>
      <c r="B4" s="293" t="s">
        <v>194</v>
      </c>
    </row>
    <row r="5" spans="1:2">
      <c r="A5" s="250" t="s">
        <v>121</v>
      </c>
      <c r="B5" s="294">
        <v>1351.85</v>
      </c>
    </row>
    <row r="6" spans="1:2">
      <c r="A6" s="250" t="s">
        <v>127</v>
      </c>
      <c r="B6" s="294">
        <v>1457.84</v>
      </c>
    </row>
    <row r="7" spans="1:2">
      <c r="A7" s="250" t="s">
        <v>125</v>
      </c>
      <c r="B7" s="294">
        <v>915.59</v>
      </c>
    </row>
    <row r="8" spans="1:2">
      <c r="A8" s="250" t="s">
        <v>208</v>
      </c>
      <c r="B8" s="294">
        <v>188.06</v>
      </c>
    </row>
    <row r="9" spans="1:2">
      <c r="A9" s="250" t="s">
        <v>118</v>
      </c>
      <c r="B9" s="294">
        <v>1707.75</v>
      </c>
    </row>
    <row r="10" spans="1:2">
      <c r="A10" s="250" t="s">
        <v>123</v>
      </c>
      <c r="B10" s="294">
        <v>988.63</v>
      </c>
    </row>
    <row r="11" spans="1:2">
      <c r="A11" s="250" t="s">
        <v>131</v>
      </c>
      <c r="B11" s="294">
        <v>1522.62</v>
      </c>
    </row>
    <row r="12" spans="1:2">
      <c r="A12" s="250" t="s">
        <v>217</v>
      </c>
      <c r="B12" s="294">
        <v>173.06</v>
      </c>
    </row>
    <row r="13" spans="1:2">
      <c r="A13" s="250" t="s">
        <v>218</v>
      </c>
      <c r="B13" s="294">
        <v>127.14</v>
      </c>
    </row>
    <row r="14" spans="1:2">
      <c r="A14" s="250" t="s">
        <v>219</v>
      </c>
      <c r="B14" s="294">
        <v>887.45</v>
      </c>
    </row>
    <row r="15" spans="1:2">
      <c r="A15" s="250" t="s">
        <v>220</v>
      </c>
      <c r="B15" s="294">
        <v>195.52</v>
      </c>
    </row>
    <row r="16" spans="1:2">
      <c r="A16" s="250" t="s">
        <v>221</v>
      </c>
      <c r="B16" s="294">
        <v>125.71</v>
      </c>
    </row>
    <row r="17" spans="1:2">
      <c r="A17" s="250" t="s">
        <v>222</v>
      </c>
      <c r="B17" s="294">
        <v>360.32</v>
      </c>
    </row>
    <row r="18" spans="1:2">
      <c r="A18" s="250" t="s">
        <v>223</v>
      </c>
      <c r="B18" s="294">
        <v>4398.1499999999996</v>
      </c>
    </row>
    <row r="19" spans="1:2">
      <c r="A19" s="250" t="s">
        <v>224</v>
      </c>
      <c r="B19" s="294">
        <v>3586.25</v>
      </c>
    </row>
    <row r="20" spans="1:2">
      <c r="A20" s="250" t="s">
        <v>225</v>
      </c>
      <c r="B20" s="294">
        <v>368.07</v>
      </c>
    </row>
    <row r="21" spans="1:2">
      <c r="A21" s="250" t="s">
        <v>226</v>
      </c>
      <c r="B21" s="294">
        <v>1007.42</v>
      </c>
    </row>
    <row r="22" spans="1:2">
      <c r="A22" s="250" t="s">
        <v>227</v>
      </c>
      <c r="B22" s="294">
        <v>295.60000000000002</v>
      </c>
    </row>
    <row r="23" spans="1:2">
      <c r="A23" s="250" t="s">
        <v>228</v>
      </c>
      <c r="B23" s="294">
        <v>815.88</v>
      </c>
    </row>
    <row r="24" spans="1:2">
      <c r="A24" s="250" t="s">
        <v>229</v>
      </c>
      <c r="B24" s="294">
        <v>38.58</v>
      </c>
    </row>
    <row r="25" spans="1:2">
      <c r="A25" s="250" t="s">
        <v>230</v>
      </c>
      <c r="B25" s="294">
        <v>8.67</v>
      </c>
    </row>
    <row r="26" spans="1:2">
      <c r="A26" s="250" t="s">
        <v>231</v>
      </c>
      <c r="B26" s="294">
        <v>16.190000000000001</v>
      </c>
    </row>
    <row r="27" spans="1:2">
      <c r="A27" s="250" t="s">
        <v>232</v>
      </c>
      <c r="B27" s="294">
        <v>73.2</v>
      </c>
    </row>
    <row r="28" spans="1:2">
      <c r="A28" s="250" t="s">
        <v>233</v>
      </c>
      <c r="B28" s="294">
        <v>14.88</v>
      </c>
    </row>
    <row r="29" spans="1:2">
      <c r="A29" s="250" t="s">
        <v>234</v>
      </c>
      <c r="B29" s="294">
        <v>42.46</v>
      </c>
    </row>
    <row r="30" spans="1:2">
      <c r="A30" s="250" t="s">
        <v>235</v>
      </c>
      <c r="B30" s="294">
        <v>5.5</v>
      </c>
    </row>
    <row r="31" spans="1:2">
      <c r="A31" s="250" t="s">
        <v>236</v>
      </c>
      <c r="B31" s="294">
        <v>23.83</v>
      </c>
    </row>
    <row r="32" spans="1:2">
      <c r="A32" s="250" t="s">
        <v>237</v>
      </c>
      <c r="B32" s="294">
        <v>74.66</v>
      </c>
    </row>
    <row r="33" spans="1:2">
      <c r="A33" s="250" t="s">
        <v>238</v>
      </c>
      <c r="B33" s="294">
        <v>258.36</v>
      </c>
    </row>
    <row r="34" spans="1:2">
      <c r="A34" s="250" t="s">
        <v>239</v>
      </c>
      <c r="B34" s="294">
        <v>370.74</v>
      </c>
    </row>
    <row r="35" spans="1:2">
      <c r="A35" s="250" t="s">
        <v>240</v>
      </c>
      <c r="B35" s="294">
        <v>3511.39</v>
      </c>
    </row>
    <row r="36" spans="1:2">
      <c r="A36" s="250" t="s">
        <v>241</v>
      </c>
      <c r="B36" s="294">
        <v>3.74</v>
      </c>
    </row>
    <row r="37" spans="1:2">
      <c r="A37" s="250" t="s">
        <v>242</v>
      </c>
      <c r="B37" s="294">
        <v>333.13</v>
      </c>
    </row>
    <row r="38" spans="1:2">
      <c r="A38" s="250" t="s">
        <v>243</v>
      </c>
      <c r="B38" s="294">
        <v>47.02</v>
      </c>
    </row>
    <row r="39" spans="1:2">
      <c r="A39" s="250" t="s">
        <v>244</v>
      </c>
      <c r="B39" s="294">
        <v>2.89</v>
      </c>
    </row>
    <row r="40" spans="1:2">
      <c r="A40" s="250" t="s">
        <v>245</v>
      </c>
      <c r="B40" s="294">
        <v>59.14</v>
      </c>
    </row>
    <row r="41" spans="1:2">
      <c r="A41" s="250" t="s">
        <v>246</v>
      </c>
      <c r="B41" s="294">
        <v>4.8</v>
      </c>
    </row>
    <row r="42" spans="1:2">
      <c r="A42" s="250" t="s">
        <v>247</v>
      </c>
      <c r="B42" s="294">
        <v>11.97</v>
      </c>
    </row>
    <row r="43" spans="1:2">
      <c r="A43" s="250" t="s">
        <v>248</v>
      </c>
      <c r="B43" s="294">
        <v>35.69</v>
      </c>
    </row>
    <row r="44" spans="1:2">
      <c r="A44" s="250" t="s">
        <v>249</v>
      </c>
      <c r="B44" s="294">
        <v>1007.42</v>
      </c>
    </row>
    <row r="45" spans="1:2">
      <c r="A45" s="250" t="s">
        <v>250</v>
      </c>
      <c r="B45" s="294">
        <v>365.49</v>
      </c>
    </row>
    <row r="46" spans="1:2">
      <c r="A46" s="250" t="s">
        <v>251</v>
      </c>
      <c r="B46" s="294">
        <v>1906.09</v>
      </c>
    </row>
    <row r="47" spans="1:2">
      <c r="A47" s="250" t="s">
        <v>252</v>
      </c>
      <c r="B47" s="294">
        <v>0.39</v>
      </c>
    </row>
    <row r="48" spans="1:2">
      <c r="A48" s="250" t="s">
        <v>253</v>
      </c>
      <c r="B48" s="294">
        <v>10.02</v>
      </c>
    </row>
    <row r="49" spans="1:2">
      <c r="A49" s="250" t="s">
        <v>254</v>
      </c>
      <c r="B49" s="294">
        <v>4.38</v>
      </c>
    </row>
    <row r="50" spans="1:2">
      <c r="A50" s="250" t="s">
        <v>255</v>
      </c>
      <c r="B50" s="294">
        <v>1.5</v>
      </c>
    </row>
    <row r="51" spans="1:2">
      <c r="A51" s="250" t="s">
        <v>256</v>
      </c>
      <c r="B51" s="294">
        <v>9.8699999999999992</v>
      </c>
    </row>
    <row r="52" spans="1:2">
      <c r="A52" s="250" t="s">
        <v>257</v>
      </c>
      <c r="B52" s="294">
        <v>0.53</v>
      </c>
    </row>
    <row r="53" spans="1:2">
      <c r="A53" s="250" t="s">
        <v>258</v>
      </c>
      <c r="B53" s="294">
        <v>0.33</v>
      </c>
    </row>
    <row r="54" spans="1:2">
      <c r="A54" s="250" t="s">
        <v>259</v>
      </c>
      <c r="B54" s="294">
        <v>10.119999999999999</v>
      </c>
    </row>
    <row r="55" spans="1:2">
      <c r="A55" s="250" t="s">
        <v>260</v>
      </c>
      <c r="B55" s="294">
        <v>167.93</v>
      </c>
    </row>
    <row r="56" spans="1:2">
      <c r="A56" s="250" t="s">
        <v>261</v>
      </c>
      <c r="B56" s="294">
        <v>0.33</v>
      </c>
    </row>
    <row r="57" spans="1:2">
      <c r="A57" s="250" t="s">
        <v>262</v>
      </c>
      <c r="B57" s="294">
        <v>600.27</v>
      </c>
    </row>
    <row r="58" spans="1:2">
      <c r="A58" s="250" t="s">
        <v>263</v>
      </c>
      <c r="B58" s="294">
        <v>279.77</v>
      </c>
    </row>
    <row r="59" spans="1:2">
      <c r="A59" s="250" t="s">
        <v>264</v>
      </c>
      <c r="B59" s="294">
        <v>293.61</v>
      </c>
    </row>
    <row r="60" spans="1:2">
      <c r="A60" s="250" t="s">
        <v>265</v>
      </c>
      <c r="B60" s="294">
        <v>0.64</v>
      </c>
    </row>
    <row r="61" spans="1:2">
      <c r="A61" s="250" t="s">
        <v>266</v>
      </c>
      <c r="B61" s="294">
        <v>20.34</v>
      </c>
    </row>
    <row r="62" spans="1:2">
      <c r="A62" s="250" t="s">
        <v>267</v>
      </c>
      <c r="B62" s="294">
        <v>0.11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AA77E521EFF4999D692B0FB4132FB" ma:contentTypeVersion="20" ma:contentTypeDescription="Create a new document." ma:contentTypeScope="" ma:versionID="f95d93f02b0d944bf195703a3dd67d79">
  <xsd:schema xmlns:xsd="http://www.w3.org/2001/XMLSchema" xmlns:xs="http://www.w3.org/2001/XMLSchema" xmlns:p="http://schemas.microsoft.com/office/2006/metadata/properties" xmlns:ns1="http://schemas.microsoft.com/sharepoint/v3" xmlns:ns2="7faca57e-0574-41dd-88fc-ac70325f1849" xmlns:ns3="2d788f59-2c71-49ea-8c02-25513b33217d" targetNamespace="http://schemas.microsoft.com/office/2006/metadata/properties" ma:root="true" ma:fieldsID="6dd8271b2dd7f4987a8d18989ffad740" ns1:_="" ns2:_="" ns3:_="">
    <xsd:import namespace="http://schemas.microsoft.com/sharepoint/v3"/>
    <xsd:import namespace="7faca57e-0574-41dd-88fc-ac70325f1849"/>
    <xsd:import namespace="2d788f59-2c71-49ea-8c02-25513b3321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d706414764af4f47932fa3b0f72787e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ca57e-0574-41dd-88fc-ac70325f18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5e642b-91f5-4888-b018-43334a040d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706414764af4f47932fa3b0f72787e1" ma:index="27" nillable="true" ma:taxonomy="true" ma:internalName="d706414764af4f47932fa3b0f72787e1" ma:taxonomyFieldName="_x0031_2" ma:displayName="12" ma:default="" ma:fieldId="{d7064147-64af-4f47-932f-a3b0f72787e1}" ma:sspId="3f5e642b-91f5-4888-b018-43334a040d09" ma:termSetId="bc915d34-57f8-4033-9b49-945f5d215a2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788f59-2c71-49ea-8c02-25513b33217d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59a2fd2-a161-4202-8472-9c6532c69332}" ma:internalName="TaxCatchAll" ma:showField="CatchAllData" ma:web="2d788f59-2c71-49ea-8c02-25513b3321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faca57e-0574-41dd-88fc-ac70325f1849">
      <Terms xmlns="http://schemas.microsoft.com/office/infopath/2007/PartnerControls"/>
    </lcf76f155ced4ddcb4097134ff3c332f>
    <_ip_UnifiedCompliancePolicyProperties xmlns="http://schemas.microsoft.com/sharepoint/v3" xsi:nil="true"/>
    <TaxCatchAll xmlns="2d788f59-2c71-49ea-8c02-25513b33217d" xsi:nil="true"/>
    <d706414764af4f47932fa3b0f72787e1 xmlns="7faca57e-0574-41dd-88fc-ac70325f1849">
      <Terms xmlns="http://schemas.microsoft.com/office/infopath/2007/PartnerControls"/>
    </d706414764af4f47932fa3b0f72787e1>
  </documentManagement>
</p:properties>
</file>

<file path=customXml/itemProps1.xml><?xml version="1.0" encoding="utf-8"?>
<ds:datastoreItem xmlns:ds="http://schemas.openxmlformats.org/officeDocument/2006/customXml" ds:itemID="{2E1409DE-E1AE-4C6D-AD3A-12294BFAB40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927CFB2-49BE-4BBD-99A4-ED7825EDD476}"/>
</file>

<file path=customXml/itemProps3.xml><?xml version="1.0" encoding="utf-8"?>
<ds:datastoreItem xmlns:ds="http://schemas.openxmlformats.org/officeDocument/2006/customXml" ds:itemID="{38876FBC-1783-4F86-8016-4A1939C5FC0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19790D8-1CFD-4E78-8C55-598A2F61774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aca57e-0574-41dd-88fc-ac70325f1849"/>
    <ds:schemaRef ds:uri="2d788f59-2c71-49ea-8c02-25513b3321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Setting</vt:lpstr>
      <vt:lpstr>Epi_Population</vt:lpstr>
      <vt:lpstr>Cost_drug</vt:lpstr>
      <vt:lpstr>Cost_treatment</vt:lpstr>
      <vt:lpstr>Budget Impact</vt:lpstr>
      <vt:lpstr>Reference</vt:lpstr>
      <vt:lpstr>Ref_하나은행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Choi, Yerim</dc:creator>
  <cp:keywords/>
  <dc:description/>
  <cp:lastModifiedBy>Jeon, Yo Seop</cp:lastModifiedBy>
  <cp:revision/>
  <dcterms:created xsi:type="dcterms:W3CDTF">2023-10-18T12:46:42Z</dcterms:created>
  <dcterms:modified xsi:type="dcterms:W3CDTF">2026-04-18T17:15:35Z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rckAIPLabel">
    <vt:lpwstr>Proprietary</vt:lpwstr>
  </property>
  <property fmtid="{D5CDD505-2E9C-101B-9397-08002B2CF9AE}" pid="3" name="MerckAIPDataExchange">
    <vt:lpwstr>!MRKMIP@Proprietary</vt:lpwstr>
  </property>
  <property fmtid="{D5CDD505-2E9C-101B-9397-08002B2CF9AE}" pid="4" name="MSIP_Label_e021533a-0434-4465-8723-fdc854574e68_Enabled">
    <vt:lpwstr>true</vt:lpwstr>
  </property>
  <property fmtid="{D5CDD505-2E9C-101B-9397-08002B2CF9AE}" pid="5" name="MSIP_Label_e021533a-0434-4465-8723-fdc854574e68_SetDate">
    <vt:lpwstr>2024-12-09T01:44:01Z</vt:lpwstr>
  </property>
  <property fmtid="{D5CDD505-2E9C-101B-9397-08002B2CF9AE}" pid="6" name="MSIP_Label_e021533a-0434-4465-8723-fdc854574e68_Method">
    <vt:lpwstr>Privileged</vt:lpwstr>
  </property>
  <property fmtid="{D5CDD505-2E9C-101B-9397-08002B2CF9AE}" pid="7" name="MSIP_Label_e021533a-0434-4465-8723-fdc854574e68_Name">
    <vt:lpwstr>Korean - Confidential</vt:lpwstr>
  </property>
  <property fmtid="{D5CDD505-2E9C-101B-9397-08002B2CF9AE}" pid="8" name="MSIP_Label_e021533a-0434-4465-8723-fdc854574e68_SiteId">
    <vt:lpwstr>a00de4ec-48a8-43a6-be74-e31274e2060d</vt:lpwstr>
  </property>
  <property fmtid="{D5CDD505-2E9C-101B-9397-08002B2CF9AE}" pid="9" name="MSIP_Label_e021533a-0434-4465-8723-fdc854574e68_ActionId">
    <vt:lpwstr>ea4b52b8-a8f6-47b9-aa80-31d4d8ac1301</vt:lpwstr>
  </property>
  <property fmtid="{D5CDD505-2E9C-101B-9397-08002B2CF9AE}" pid="10" name="MSIP_Label_e021533a-0434-4465-8723-fdc854574e68_ContentBits">
    <vt:lpwstr>1</vt:lpwstr>
  </property>
  <property fmtid="{D5CDD505-2E9C-101B-9397-08002B2CF9AE}" pid="11" name="_AdHocReviewCycleID">
    <vt:i4>-1704756482</vt:i4>
  </property>
  <property fmtid="{D5CDD505-2E9C-101B-9397-08002B2CF9AE}" pid="12" name="_NewReviewCycle">
    <vt:lpwstr/>
  </property>
  <property fmtid="{D5CDD505-2E9C-101B-9397-08002B2CF9AE}" pid="13" name="_EmailSubject">
    <vt:lpwstr>[Confidential] 웰리렉정 급여 신청 관련 검토 요청의 건 </vt:lpwstr>
  </property>
  <property fmtid="{D5CDD505-2E9C-101B-9397-08002B2CF9AE}" pid="14" name="_AuthorEmail">
    <vt:lpwstr>hyowon.yang@msd.com</vt:lpwstr>
  </property>
  <property fmtid="{D5CDD505-2E9C-101B-9397-08002B2CF9AE}" pid="15" name="_AuthorEmailDisplayName">
    <vt:lpwstr>Yang, Hyowon</vt:lpwstr>
  </property>
  <property fmtid="{D5CDD505-2E9C-101B-9397-08002B2CF9AE}" pid="16" name="_PreviousAdHocReviewCycleID">
    <vt:i4>-1466711490</vt:i4>
  </property>
  <property fmtid="{D5CDD505-2E9C-101B-9397-08002B2CF9AE}" pid="17" name="_ReviewingToolsShownOnce">
    <vt:lpwstr/>
  </property>
  <property fmtid="{D5CDD505-2E9C-101B-9397-08002B2CF9AE}" pid="18" name="ContentTypeId">
    <vt:lpwstr>0x010100095AA77E521EFF4999D692B0FB4132FB</vt:lpwstr>
  </property>
  <property fmtid="{D5CDD505-2E9C-101B-9397-08002B2CF9AE}" pid="19" name="MediaServiceImageTags">
    <vt:lpwstr/>
  </property>
  <property fmtid="{D5CDD505-2E9C-101B-9397-08002B2CF9AE}" pid="20" name="12">
    <vt:lpwstr/>
  </property>
  <property fmtid="{D5CDD505-2E9C-101B-9397-08002B2CF9AE}" pid="21" name="_x0031_2">
    <vt:lpwstr/>
  </property>
</Properties>
</file>