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duct_Input" sheetId="1" state="visible" r:id="rId1"/>
    <sheet xmlns:r="http://schemas.openxmlformats.org/officeDocument/2006/relationships" name="02_Scenarios" sheetId="2" state="visible" r:id="rId2"/>
    <sheet xmlns:r="http://schemas.openxmlformats.org/officeDocument/2006/relationships" name="03_Evidence_Log" sheetId="3" state="visible" r:id="rId3"/>
    <sheet xmlns:r="http://schemas.openxmlformats.org/officeDocument/2006/relationships" name="04_Summary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'01_Product_Input'!$A$3:$AI$103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B556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766E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Hermes</author>
  </authors>
  <commentList>
    <comment ref="G3" authorId="0" shapeId="0">
      <text>
        <t>현재 약제급여목록표 상한금액. 공식/내부 검증 필요.</t>
      </text>
    </comment>
    <comment ref="H3" authorId="0" shapeId="0">
      <text>
        <t>2012.12.1 가격 또는 정책상 relevant baseline. 기준시점 쟁점의 핵심 입력값.</t>
      </text>
    </comment>
    <comment ref="Y3" authorId="0" shapeId="0">
      <text>
        <t>45% 조정 가정이면 0.45. 다른 scenario는 Scenario sheet 참고.</t>
      </text>
    </comment>
    <comment ref="AB3" authorId="0" shapeId="0">
      <text>
        <t>단순 gross exposure: unit delta × annual volume. 실제 net impact는 계약/RSA/재고/채널별 조정 필요.</t>
      </text>
    </comment>
    <comment ref="AC3" authorId="0" shapeId="0">
      <text>
        <t>누적 인하 evidence가 강할수록 double penalty 방어 논리 강함.</t>
      </text>
    </comment>
    <comment ref="AD3" authorId="0" shapeId="0">
      <text>
        <t>KRPIA 의견서 논리와 연결 가능한 예외/방어 근거를 기입.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22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8" customWidth="1" min="11" max="11"/>
    <col width="14" customWidth="1" min="12" max="12"/>
    <col width="16" customWidth="1" min="13" max="13"/>
    <col width="18" customWidth="1" min="14" max="14"/>
    <col width="18" customWidth="1" min="15" max="15"/>
    <col width="16" customWidth="1" min="16" max="16"/>
    <col width="20" customWidth="1" min="17" max="17"/>
    <col width="20" customWidth="1" min="18" max="18"/>
    <col width="22" customWidth="1" min="19" max="19"/>
    <col width="22" customWidth="1" min="20" max="20"/>
    <col width="22" customWidth="1" min="21" max="21"/>
    <col width="22" customWidth="1" min="22" max="22"/>
    <col width="14" customWidth="1" min="23" max="23"/>
    <col width="18" customWidth="1" min="24" max="24"/>
    <col width="14" customWidth="1" min="25" max="25"/>
    <col width="18" customWidth="1" min="26" max="26"/>
    <col width="18" customWidth="1" min="27" max="27"/>
    <col width="20" customWidth="1" min="28" max="28"/>
    <col width="18" customWidth="1" min="29" max="29"/>
    <col width="28" customWidth="1" min="30" max="30"/>
    <col width="16" customWidth="1" min="31" max="31"/>
    <col width="12" customWidth="1" min="32" max="32"/>
    <col width="10" customWidth="1" min="33" max="33"/>
    <col width="28" customWidth="1" min="34" max="34"/>
    <col width="28" customWidth="1" min="35" max="35"/>
  </cols>
  <sheetData>
    <row r="1">
      <c r="A1" s="1" t="inlineStr">
        <is>
          <t>KRPIA Policy Intelligence — 기등재 약제 재평가·특허만료 오리지널 약가조정 Impact Assessment Template</t>
        </is>
      </c>
    </row>
    <row r="2">
      <c r="A2" s="2" t="inlineStr">
        <is>
          <t>Generated: 2026-07-02 01:54 KST-equivalent runtime · Fill yellow cells; formulas calculate exposure. Do not enter confidential prices in Git.</t>
        </is>
      </c>
    </row>
    <row r="3">
      <c r="A3" s="3" t="inlineStr">
        <is>
          <t>Portfolio owner</t>
        </is>
      </c>
      <c r="B3" s="3" t="inlineStr">
        <is>
          <t>Product</t>
        </is>
      </c>
      <c r="C3" s="3" t="inlineStr">
        <is>
          <t>Ingredient</t>
        </is>
      </c>
      <c r="D3" s="3" t="inlineStr">
        <is>
          <t>Strength/Form</t>
        </is>
      </c>
      <c r="E3" s="3" t="inlineStr">
        <is>
          <t>Indication/TA</t>
        </is>
      </c>
      <c r="F3" s="3" t="inlineStr">
        <is>
          <t>Listing date</t>
        </is>
      </c>
      <c r="G3" s="3" t="inlineStr">
        <is>
          <t>Current ceiling price KRW</t>
        </is>
      </c>
      <c r="H3" s="3" t="inlineStr">
        <is>
          <t>2012/reference price KRW</t>
        </is>
      </c>
      <c r="I3" s="3" t="inlineStr">
        <is>
          <t>Reference date</t>
        </is>
      </c>
      <c r="J3" s="3" t="inlineStr">
        <is>
          <t>Patent expiry date</t>
        </is>
      </c>
      <c r="K3" s="3" t="inlineStr">
        <is>
          <t>Generic/biosimilar status</t>
        </is>
      </c>
      <c r="L3" s="3" t="inlineStr">
        <is>
          <t>Generic entry date</t>
        </is>
      </c>
      <c r="M3" s="3" t="inlineStr">
        <is>
          <t>Same-ingredient competitor count</t>
        </is>
      </c>
      <c r="N3" s="3" t="inlineStr">
        <is>
          <t>Current annual sales KRW</t>
        </is>
      </c>
      <c r="O3" s="3" t="inlineStr">
        <is>
          <t>Current annual volume units</t>
        </is>
      </c>
      <c r="P3" s="3" t="inlineStr">
        <is>
          <t>Strategic importance</t>
        </is>
      </c>
      <c r="Q3" s="3" t="inlineStr">
        <is>
          <t>PVA history</t>
        </is>
      </c>
      <c r="R3" s="3" t="inlineStr">
        <is>
          <t>RSA/contract history</t>
        </is>
      </c>
      <c r="S3" s="3" t="inlineStr">
        <is>
          <t>Actual transaction price cut history</t>
        </is>
      </c>
      <c r="T3" s="3" t="inlineStr">
        <is>
          <t>Indication expansion pre-cut history</t>
        </is>
      </c>
      <c r="U3" s="3" t="inlineStr">
        <is>
          <t>Re-evaluation/recontract history</t>
        </is>
      </c>
      <c r="V3" s="3" t="inlineStr">
        <is>
          <t>Other cumulative reductions</t>
        </is>
      </c>
      <c r="W3" s="3" t="inlineStr">
        <is>
          <t>Scenario included?</t>
        </is>
      </c>
      <c r="X3" s="3" t="inlineStr">
        <is>
          <t>Policy scenario</t>
        </is>
      </c>
      <c r="Y3" s="3" t="inlineStr">
        <is>
          <t>Scenario target ratio</t>
        </is>
      </c>
      <c r="Z3" s="3" t="inlineStr">
        <is>
          <t>Calculated scenario price KRW</t>
        </is>
      </c>
      <c r="AA3" s="3" t="inlineStr">
        <is>
          <t>Current-to-scenario unit delta KRW</t>
        </is>
      </c>
      <c r="AB3" s="3" t="inlineStr">
        <is>
          <t>Annualized gross exposure KRW</t>
        </is>
      </c>
      <c r="AC3" s="3" t="inlineStr">
        <is>
          <t>Double-penalty evidence strength</t>
        </is>
      </c>
      <c r="AD3" s="3" t="inlineStr">
        <is>
          <t>Exception/defense argument</t>
        </is>
      </c>
      <c r="AE3" s="3" t="inlineStr">
        <is>
          <t>Data completeness</t>
        </is>
      </c>
      <c r="AF3" s="3" t="inlineStr">
        <is>
          <t>Risk score</t>
        </is>
      </c>
      <c r="AG3" s="3" t="inlineStr">
        <is>
          <t>Priority</t>
        </is>
      </c>
      <c r="AH3" s="3" t="inlineStr">
        <is>
          <t>Owner next action</t>
        </is>
      </c>
      <c r="AI3" s="3" t="inlineStr">
        <is>
          <t>Notes</t>
        </is>
      </c>
    </row>
    <row r="4">
      <c r="A4" s="4" t="inlineStr"/>
      <c r="B4" s="4" t="inlineStr">
        <is>
          <t>Example legacy/originator product</t>
        </is>
      </c>
      <c r="C4" s="4" t="inlineStr">
        <is>
          <t>ingredient</t>
        </is>
      </c>
      <c r="D4" s="4" t="inlineStr">
        <is>
          <t>100 mg tablet</t>
        </is>
      </c>
      <c r="E4" s="4" t="inlineStr">
        <is>
          <t>TA / indication</t>
        </is>
      </c>
      <c r="F4" s="4" t="inlineStr"/>
      <c r="G4" s="4" t="inlineStr"/>
      <c r="H4" s="4" t="inlineStr"/>
      <c r="I4" s="4" t="inlineStr"/>
      <c r="J4" s="4" t="inlineStr"/>
      <c r="K4" s="4" t="inlineStr">
        <is>
          <t>진입 완료/임박/미진입</t>
        </is>
      </c>
      <c r="L4" s="4" t="inlineStr"/>
      <c r="M4" s="4" t="inlineStr"/>
      <c r="N4" s="4" t="inlineStr"/>
      <c r="O4" s="4" t="inlineStr"/>
      <c r="P4" s="4" t="inlineStr">
        <is>
          <t>High/Medium/Low</t>
        </is>
      </c>
      <c r="Q4" s="4" t="inlineStr">
        <is>
          <t>Y/N + brief</t>
        </is>
      </c>
      <c r="R4" s="4" t="inlineStr">
        <is>
          <t>Y/N + brief</t>
        </is>
      </c>
      <c r="S4" s="4" t="inlineStr">
        <is>
          <t>Y/N + brief</t>
        </is>
      </c>
      <c r="T4" s="4" t="inlineStr">
        <is>
          <t>Y/N + brief</t>
        </is>
      </c>
      <c r="U4" s="4" t="inlineStr">
        <is>
          <t>Y/N + brief</t>
        </is>
      </c>
      <c r="V4" s="4" t="inlineStr"/>
      <c r="W4" s="4" t="inlineStr">
        <is>
          <t>Y</t>
        </is>
      </c>
      <c r="X4" s="4" t="inlineStr">
        <is>
          <t>45% adjustment</t>
        </is>
      </c>
      <c r="Y4" s="4" t="n">
        <v>0.45</v>
      </c>
      <c r="Z4" s="5">
        <f>IF(AND(G4&lt;&gt;"",Y4&lt;&gt;""),ROUND(H4*Y4,0),"")</f>
        <v/>
      </c>
      <c r="AA4" s="5">
        <f>IF(AND(G4&lt;&gt;"",Z4&lt;&gt;""),MAX(G4-Z4,0),"")</f>
        <v/>
      </c>
      <c r="AB4" s="5">
        <f>IF(AND(AA4&lt;&gt;"",O4&lt;&gt;""),AA4*O4,"")</f>
        <v/>
      </c>
      <c r="AC4" s="4" t="inlineStr">
        <is>
          <t>High/Medium/Low</t>
        </is>
      </c>
      <c r="AD4" s="4" t="inlineStr">
        <is>
          <t>e.g., already reduced by PVA and actual transaction cuts</t>
        </is>
      </c>
      <c r="AE4" s="4" t="inlineStr">
        <is>
          <t>Partial</t>
        </is>
      </c>
      <c r="AF4" s="5">
        <f>IF(AC4="High",5,IF(AC4="Medium",3,1))+IF(P4="High",3,IF(P4="Medium",2,1))+IF(M4&gt;0,2,0)</f>
        <v/>
      </c>
      <c r="AG4" s="5">
        <f>IF(AF4&gt;=8,"P1",IF(AF4&gt;=5,"P2","P3"))</f>
        <v/>
      </c>
      <c r="AH4" s="4" t="inlineStr">
        <is>
          <t>Collect missing reference price and price-cut history</t>
        </is>
      </c>
      <c r="AI4" s="4" t="inlineStr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5">
        <f>IF(AND(G5&lt;&gt;"",Y5&lt;&gt;""),ROUND(H5*Y5,0),"")</f>
        <v/>
      </c>
      <c r="AA5" s="5">
        <f>IF(AND(G5&lt;&gt;"",Z5&lt;&gt;""),MAX(G5-Z5,0),"")</f>
        <v/>
      </c>
      <c r="AB5" s="5">
        <f>IF(AND(AA5&lt;&gt;"",O5&lt;&gt;""),AA5*O5,"")</f>
        <v/>
      </c>
      <c r="AC5" s="4" t="n"/>
      <c r="AD5" s="4" t="n"/>
      <c r="AE5" s="4" t="n"/>
      <c r="AF5" s="5">
        <f>IF(AC5="High",5,IF(AC5="Medium",3,1))+IF(P5="High",3,IF(P5="Medium",2,1))+IF(M5&gt;0,2,0)</f>
        <v/>
      </c>
      <c r="AG5" s="5">
        <f>IF(AF5&gt;=8,"P1",IF(AF5&gt;=5,"P2","P3"))</f>
        <v/>
      </c>
      <c r="AH5" s="4" t="n"/>
      <c r="A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5">
        <f>IF(AND(G6&lt;&gt;"",Y6&lt;&gt;""),ROUND(H6*Y6,0),"")</f>
        <v/>
      </c>
      <c r="AA6" s="5">
        <f>IF(AND(G6&lt;&gt;"",Z6&lt;&gt;""),MAX(G6-Z6,0),"")</f>
        <v/>
      </c>
      <c r="AB6" s="5">
        <f>IF(AND(AA6&lt;&gt;"",O6&lt;&gt;""),AA6*O6,"")</f>
        <v/>
      </c>
      <c r="AC6" s="4" t="n"/>
      <c r="AD6" s="4" t="n"/>
      <c r="AE6" s="4" t="n"/>
      <c r="AF6" s="5">
        <f>IF(AC6="High",5,IF(AC6="Medium",3,1))+IF(P6="High",3,IF(P6="Medium",2,1))+IF(M6&gt;0,2,0)</f>
        <v/>
      </c>
      <c r="AG6" s="5">
        <f>IF(AF6&gt;=8,"P1",IF(AF6&gt;=5,"P2","P3"))</f>
        <v/>
      </c>
      <c r="AH6" s="4" t="n"/>
      <c r="A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5">
        <f>IF(AND(G7&lt;&gt;"",Y7&lt;&gt;""),ROUND(H7*Y7,0),"")</f>
        <v/>
      </c>
      <c r="AA7" s="5">
        <f>IF(AND(G7&lt;&gt;"",Z7&lt;&gt;""),MAX(G7-Z7,0),"")</f>
        <v/>
      </c>
      <c r="AB7" s="5">
        <f>IF(AND(AA7&lt;&gt;"",O7&lt;&gt;""),AA7*O7,"")</f>
        <v/>
      </c>
      <c r="AC7" s="4" t="n"/>
      <c r="AD7" s="4" t="n"/>
      <c r="AE7" s="4" t="n"/>
      <c r="AF7" s="5">
        <f>IF(AC7="High",5,IF(AC7="Medium",3,1))+IF(P7="High",3,IF(P7="Medium",2,1))+IF(M7&gt;0,2,0)</f>
        <v/>
      </c>
      <c r="AG7" s="5">
        <f>IF(AF7&gt;=8,"P1",IF(AF7&gt;=5,"P2","P3"))</f>
        <v/>
      </c>
      <c r="AH7" s="4" t="n"/>
      <c r="A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5">
        <f>IF(AND(G8&lt;&gt;"",Y8&lt;&gt;""),ROUND(H8*Y8,0),"")</f>
        <v/>
      </c>
      <c r="AA8" s="5">
        <f>IF(AND(G8&lt;&gt;"",Z8&lt;&gt;""),MAX(G8-Z8,0),"")</f>
        <v/>
      </c>
      <c r="AB8" s="5">
        <f>IF(AND(AA8&lt;&gt;"",O8&lt;&gt;""),AA8*O8,"")</f>
        <v/>
      </c>
      <c r="AC8" s="4" t="n"/>
      <c r="AD8" s="4" t="n"/>
      <c r="AE8" s="4" t="n"/>
      <c r="AF8" s="5">
        <f>IF(AC8="High",5,IF(AC8="Medium",3,1))+IF(P8="High",3,IF(P8="Medium",2,1))+IF(M8&gt;0,2,0)</f>
        <v/>
      </c>
      <c r="AG8" s="5">
        <f>IF(AF8&gt;=8,"P1",IF(AF8&gt;=5,"P2","P3"))</f>
        <v/>
      </c>
      <c r="AH8" s="4" t="n"/>
      <c r="A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5">
        <f>IF(AND(G9&lt;&gt;"",Y9&lt;&gt;""),ROUND(H9*Y9,0),"")</f>
        <v/>
      </c>
      <c r="AA9" s="5">
        <f>IF(AND(G9&lt;&gt;"",Z9&lt;&gt;""),MAX(G9-Z9,0),"")</f>
        <v/>
      </c>
      <c r="AB9" s="5">
        <f>IF(AND(AA9&lt;&gt;"",O9&lt;&gt;""),AA9*O9,"")</f>
        <v/>
      </c>
      <c r="AC9" s="4" t="n"/>
      <c r="AD9" s="4" t="n"/>
      <c r="AE9" s="4" t="n"/>
      <c r="AF9" s="5">
        <f>IF(AC9="High",5,IF(AC9="Medium",3,1))+IF(P9="High",3,IF(P9="Medium",2,1))+IF(M9&gt;0,2,0)</f>
        <v/>
      </c>
      <c r="AG9" s="5">
        <f>IF(AF9&gt;=8,"P1",IF(AF9&gt;=5,"P2","P3"))</f>
        <v/>
      </c>
      <c r="AH9" s="4" t="n"/>
      <c r="A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5">
        <f>IF(AND(G10&lt;&gt;"",Y10&lt;&gt;""),ROUND(H10*Y10,0),"")</f>
        <v/>
      </c>
      <c r="AA10" s="5">
        <f>IF(AND(G10&lt;&gt;"",Z10&lt;&gt;""),MAX(G10-Z10,0),"")</f>
        <v/>
      </c>
      <c r="AB10" s="5">
        <f>IF(AND(AA10&lt;&gt;"",O10&lt;&gt;""),AA10*O10,"")</f>
        <v/>
      </c>
      <c r="AC10" s="4" t="n"/>
      <c r="AD10" s="4" t="n"/>
      <c r="AE10" s="4" t="n"/>
      <c r="AF10" s="5">
        <f>IF(AC10="High",5,IF(AC10="Medium",3,1))+IF(P10="High",3,IF(P10="Medium",2,1))+IF(M10&gt;0,2,0)</f>
        <v/>
      </c>
      <c r="AG10" s="5">
        <f>IF(AF10&gt;=8,"P1",IF(AF10&gt;=5,"P2","P3"))</f>
        <v/>
      </c>
      <c r="AH10" s="4" t="n"/>
      <c r="A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5">
        <f>IF(AND(G11&lt;&gt;"",Y11&lt;&gt;""),ROUND(H11*Y11,0),"")</f>
        <v/>
      </c>
      <c r="AA11" s="5">
        <f>IF(AND(G11&lt;&gt;"",Z11&lt;&gt;""),MAX(G11-Z11,0),"")</f>
        <v/>
      </c>
      <c r="AB11" s="5">
        <f>IF(AND(AA11&lt;&gt;"",O11&lt;&gt;""),AA11*O11,"")</f>
        <v/>
      </c>
      <c r="AC11" s="4" t="n"/>
      <c r="AD11" s="4" t="n"/>
      <c r="AE11" s="4" t="n"/>
      <c r="AF11" s="5">
        <f>IF(AC11="High",5,IF(AC11="Medium",3,1))+IF(P11="High",3,IF(P11="Medium",2,1))+IF(M11&gt;0,2,0)</f>
        <v/>
      </c>
      <c r="AG11" s="5">
        <f>IF(AF11&gt;=8,"P1",IF(AF11&gt;=5,"P2","P3"))</f>
        <v/>
      </c>
      <c r="AH11" s="4" t="n"/>
      <c r="A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5">
        <f>IF(AND(G12&lt;&gt;"",Y12&lt;&gt;""),ROUND(H12*Y12,0),"")</f>
        <v/>
      </c>
      <c r="AA12" s="5">
        <f>IF(AND(G12&lt;&gt;"",Z12&lt;&gt;""),MAX(G12-Z12,0),"")</f>
        <v/>
      </c>
      <c r="AB12" s="5">
        <f>IF(AND(AA12&lt;&gt;"",O12&lt;&gt;""),AA12*O12,"")</f>
        <v/>
      </c>
      <c r="AC12" s="4" t="n"/>
      <c r="AD12" s="4" t="n"/>
      <c r="AE12" s="4" t="n"/>
      <c r="AF12" s="5">
        <f>IF(AC12="High",5,IF(AC12="Medium",3,1))+IF(P12="High",3,IF(P12="Medium",2,1))+IF(M12&gt;0,2,0)</f>
        <v/>
      </c>
      <c r="AG12" s="5">
        <f>IF(AF12&gt;=8,"P1",IF(AF12&gt;=5,"P2","P3"))</f>
        <v/>
      </c>
      <c r="AH12" s="4" t="n"/>
      <c r="A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5">
        <f>IF(AND(G13&lt;&gt;"",Y13&lt;&gt;""),ROUND(H13*Y13,0),"")</f>
        <v/>
      </c>
      <c r="AA13" s="5">
        <f>IF(AND(G13&lt;&gt;"",Z13&lt;&gt;""),MAX(G13-Z13,0),"")</f>
        <v/>
      </c>
      <c r="AB13" s="5">
        <f>IF(AND(AA13&lt;&gt;"",O13&lt;&gt;""),AA13*O13,"")</f>
        <v/>
      </c>
      <c r="AC13" s="4" t="n"/>
      <c r="AD13" s="4" t="n"/>
      <c r="AE13" s="4" t="n"/>
      <c r="AF13" s="5">
        <f>IF(AC13="High",5,IF(AC13="Medium",3,1))+IF(P13="High",3,IF(P13="Medium",2,1))+IF(M13&gt;0,2,0)</f>
        <v/>
      </c>
      <c r="AG13" s="5">
        <f>IF(AF13&gt;=8,"P1",IF(AF13&gt;=5,"P2","P3"))</f>
        <v/>
      </c>
      <c r="AH13" s="4" t="n"/>
      <c r="A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5">
        <f>IF(AND(G14&lt;&gt;"",Y14&lt;&gt;""),ROUND(H14*Y14,0),"")</f>
        <v/>
      </c>
      <c r="AA14" s="5">
        <f>IF(AND(G14&lt;&gt;"",Z14&lt;&gt;""),MAX(G14-Z14,0),"")</f>
        <v/>
      </c>
      <c r="AB14" s="5">
        <f>IF(AND(AA14&lt;&gt;"",O14&lt;&gt;""),AA14*O14,"")</f>
        <v/>
      </c>
      <c r="AC14" s="4" t="n"/>
      <c r="AD14" s="4" t="n"/>
      <c r="AE14" s="4" t="n"/>
      <c r="AF14" s="5">
        <f>IF(AC14="High",5,IF(AC14="Medium",3,1))+IF(P14="High",3,IF(P14="Medium",2,1))+IF(M14&gt;0,2,0)</f>
        <v/>
      </c>
      <c r="AG14" s="5">
        <f>IF(AF14&gt;=8,"P1",IF(AF14&gt;=5,"P2","P3"))</f>
        <v/>
      </c>
      <c r="AH14" s="4" t="n"/>
      <c r="A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5">
        <f>IF(AND(G15&lt;&gt;"",Y15&lt;&gt;""),ROUND(H15*Y15,0),"")</f>
        <v/>
      </c>
      <c r="AA15" s="5">
        <f>IF(AND(G15&lt;&gt;"",Z15&lt;&gt;""),MAX(G15-Z15,0),"")</f>
        <v/>
      </c>
      <c r="AB15" s="5">
        <f>IF(AND(AA15&lt;&gt;"",O15&lt;&gt;""),AA15*O15,"")</f>
        <v/>
      </c>
      <c r="AC15" s="4" t="n"/>
      <c r="AD15" s="4" t="n"/>
      <c r="AE15" s="4" t="n"/>
      <c r="AF15" s="5">
        <f>IF(AC15="High",5,IF(AC15="Medium",3,1))+IF(P15="High",3,IF(P15="Medium",2,1))+IF(M15&gt;0,2,0)</f>
        <v/>
      </c>
      <c r="AG15" s="5">
        <f>IF(AF15&gt;=8,"P1",IF(AF15&gt;=5,"P2","P3"))</f>
        <v/>
      </c>
      <c r="AH15" s="4" t="n"/>
      <c r="A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5">
        <f>IF(AND(G16&lt;&gt;"",Y16&lt;&gt;""),ROUND(H16*Y16,0),"")</f>
        <v/>
      </c>
      <c r="AA16" s="5">
        <f>IF(AND(G16&lt;&gt;"",Z16&lt;&gt;""),MAX(G16-Z16,0),"")</f>
        <v/>
      </c>
      <c r="AB16" s="5">
        <f>IF(AND(AA16&lt;&gt;"",O16&lt;&gt;""),AA16*O16,"")</f>
        <v/>
      </c>
      <c r="AC16" s="4" t="n"/>
      <c r="AD16" s="4" t="n"/>
      <c r="AE16" s="4" t="n"/>
      <c r="AF16" s="5">
        <f>IF(AC16="High",5,IF(AC16="Medium",3,1))+IF(P16="High",3,IF(P16="Medium",2,1))+IF(M16&gt;0,2,0)</f>
        <v/>
      </c>
      <c r="AG16" s="5">
        <f>IF(AF16&gt;=8,"P1",IF(AF16&gt;=5,"P2","P3"))</f>
        <v/>
      </c>
      <c r="AH16" s="4" t="n"/>
      <c r="A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5">
        <f>IF(AND(G17&lt;&gt;"",Y17&lt;&gt;""),ROUND(H17*Y17,0),"")</f>
        <v/>
      </c>
      <c r="AA17" s="5">
        <f>IF(AND(G17&lt;&gt;"",Z17&lt;&gt;""),MAX(G17-Z17,0),"")</f>
        <v/>
      </c>
      <c r="AB17" s="5">
        <f>IF(AND(AA17&lt;&gt;"",O17&lt;&gt;""),AA17*O17,"")</f>
        <v/>
      </c>
      <c r="AC17" s="4" t="n"/>
      <c r="AD17" s="4" t="n"/>
      <c r="AE17" s="4" t="n"/>
      <c r="AF17" s="5">
        <f>IF(AC17="High",5,IF(AC17="Medium",3,1))+IF(P17="High",3,IF(P17="Medium",2,1))+IF(M17&gt;0,2,0)</f>
        <v/>
      </c>
      <c r="AG17" s="5">
        <f>IF(AF17&gt;=8,"P1",IF(AF17&gt;=5,"P2","P3"))</f>
        <v/>
      </c>
      <c r="AH17" s="4" t="n"/>
      <c r="A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5">
        <f>IF(AND(G18&lt;&gt;"",Y18&lt;&gt;""),ROUND(H18*Y18,0),"")</f>
        <v/>
      </c>
      <c r="AA18" s="5">
        <f>IF(AND(G18&lt;&gt;"",Z18&lt;&gt;""),MAX(G18-Z18,0),"")</f>
        <v/>
      </c>
      <c r="AB18" s="5">
        <f>IF(AND(AA18&lt;&gt;"",O18&lt;&gt;""),AA18*O18,"")</f>
        <v/>
      </c>
      <c r="AC18" s="4" t="n"/>
      <c r="AD18" s="4" t="n"/>
      <c r="AE18" s="4" t="n"/>
      <c r="AF18" s="5">
        <f>IF(AC18="High",5,IF(AC18="Medium",3,1))+IF(P18="High",3,IF(P18="Medium",2,1))+IF(M18&gt;0,2,0)</f>
        <v/>
      </c>
      <c r="AG18" s="5">
        <f>IF(AF18&gt;=8,"P1",IF(AF18&gt;=5,"P2","P3"))</f>
        <v/>
      </c>
      <c r="AH18" s="4" t="n"/>
      <c r="A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5">
        <f>IF(AND(G19&lt;&gt;"",Y19&lt;&gt;""),ROUND(H19*Y19,0),"")</f>
        <v/>
      </c>
      <c r="AA19" s="5">
        <f>IF(AND(G19&lt;&gt;"",Z19&lt;&gt;""),MAX(G19-Z19,0),"")</f>
        <v/>
      </c>
      <c r="AB19" s="5">
        <f>IF(AND(AA19&lt;&gt;"",O19&lt;&gt;""),AA19*O19,"")</f>
        <v/>
      </c>
      <c r="AC19" s="4" t="n"/>
      <c r="AD19" s="4" t="n"/>
      <c r="AE19" s="4" t="n"/>
      <c r="AF19" s="5">
        <f>IF(AC19="High",5,IF(AC19="Medium",3,1))+IF(P19="High",3,IF(P19="Medium",2,1))+IF(M19&gt;0,2,0)</f>
        <v/>
      </c>
      <c r="AG19" s="5">
        <f>IF(AF19&gt;=8,"P1",IF(AF19&gt;=5,"P2","P3"))</f>
        <v/>
      </c>
      <c r="AH19" s="4" t="n"/>
      <c r="A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5">
        <f>IF(AND(G20&lt;&gt;"",Y20&lt;&gt;""),ROUND(H20*Y20,0),"")</f>
        <v/>
      </c>
      <c r="AA20" s="5">
        <f>IF(AND(G20&lt;&gt;"",Z20&lt;&gt;""),MAX(G20-Z20,0),"")</f>
        <v/>
      </c>
      <c r="AB20" s="5">
        <f>IF(AND(AA20&lt;&gt;"",O20&lt;&gt;""),AA20*O20,"")</f>
        <v/>
      </c>
      <c r="AC20" s="4" t="n"/>
      <c r="AD20" s="4" t="n"/>
      <c r="AE20" s="4" t="n"/>
      <c r="AF20" s="5">
        <f>IF(AC20="High",5,IF(AC20="Medium",3,1))+IF(P20="High",3,IF(P20="Medium",2,1))+IF(M20&gt;0,2,0)</f>
        <v/>
      </c>
      <c r="AG20" s="5">
        <f>IF(AF20&gt;=8,"P1",IF(AF20&gt;=5,"P2","P3"))</f>
        <v/>
      </c>
      <c r="AH20" s="4" t="n"/>
      <c r="A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5">
        <f>IF(AND(G21&lt;&gt;"",Y21&lt;&gt;""),ROUND(H21*Y21,0),"")</f>
        <v/>
      </c>
      <c r="AA21" s="5">
        <f>IF(AND(G21&lt;&gt;"",Z21&lt;&gt;""),MAX(G21-Z21,0),"")</f>
        <v/>
      </c>
      <c r="AB21" s="5">
        <f>IF(AND(AA21&lt;&gt;"",O21&lt;&gt;""),AA21*O21,"")</f>
        <v/>
      </c>
      <c r="AC21" s="4" t="n"/>
      <c r="AD21" s="4" t="n"/>
      <c r="AE21" s="4" t="n"/>
      <c r="AF21" s="5">
        <f>IF(AC21="High",5,IF(AC21="Medium",3,1))+IF(P21="High",3,IF(P21="Medium",2,1))+IF(M21&gt;0,2,0)</f>
        <v/>
      </c>
      <c r="AG21" s="5">
        <f>IF(AF21&gt;=8,"P1",IF(AF21&gt;=5,"P2","P3"))</f>
        <v/>
      </c>
      <c r="AH21" s="4" t="n"/>
      <c r="A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5">
        <f>IF(AND(G22&lt;&gt;"",Y22&lt;&gt;""),ROUND(H22*Y22,0),"")</f>
        <v/>
      </c>
      <c r="AA22" s="5">
        <f>IF(AND(G22&lt;&gt;"",Z22&lt;&gt;""),MAX(G22-Z22,0),"")</f>
        <v/>
      </c>
      <c r="AB22" s="5">
        <f>IF(AND(AA22&lt;&gt;"",O22&lt;&gt;""),AA22*O22,"")</f>
        <v/>
      </c>
      <c r="AC22" s="4" t="n"/>
      <c r="AD22" s="4" t="n"/>
      <c r="AE22" s="4" t="n"/>
      <c r="AF22" s="5">
        <f>IF(AC22="High",5,IF(AC22="Medium",3,1))+IF(P22="High",3,IF(P22="Medium",2,1))+IF(M22&gt;0,2,0)</f>
        <v/>
      </c>
      <c r="AG22" s="5">
        <f>IF(AF22&gt;=8,"P1",IF(AF22&gt;=5,"P2","P3"))</f>
        <v/>
      </c>
      <c r="AH22" s="4" t="n"/>
      <c r="A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5">
        <f>IF(AND(G23&lt;&gt;"",Y23&lt;&gt;""),ROUND(H23*Y23,0),"")</f>
        <v/>
      </c>
      <c r="AA23" s="5">
        <f>IF(AND(G23&lt;&gt;"",Z23&lt;&gt;""),MAX(G23-Z23,0),"")</f>
        <v/>
      </c>
      <c r="AB23" s="5">
        <f>IF(AND(AA23&lt;&gt;"",O23&lt;&gt;""),AA23*O23,"")</f>
        <v/>
      </c>
      <c r="AC23" s="4" t="n"/>
      <c r="AD23" s="4" t="n"/>
      <c r="AE23" s="4" t="n"/>
      <c r="AF23" s="5">
        <f>IF(AC23="High",5,IF(AC23="Medium",3,1))+IF(P23="High",3,IF(P23="Medium",2,1))+IF(M23&gt;0,2,0)</f>
        <v/>
      </c>
      <c r="AG23" s="5">
        <f>IF(AF23&gt;=8,"P1",IF(AF23&gt;=5,"P2","P3"))</f>
        <v/>
      </c>
      <c r="AH23" s="4" t="n"/>
      <c r="A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5">
        <f>IF(AND(G24&lt;&gt;"",Y24&lt;&gt;""),ROUND(H24*Y24,0),"")</f>
        <v/>
      </c>
      <c r="AA24" s="5">
        <f>IF(AND(G24&lt;&gt;"",Z24&lt;&gt;""),MAX(G24-Z24,0),"")</f>
        <v/>
      </c>
      <c r="AB24" s="5">
        <f>IF(AND(AA24&lt;&gt;"",O24&lt;&gt;""),AA24*O24,"")</f>
        <v/>
      </c>
      <c r="AC24" s="4" t="n"/>
      <c r="AD24" s="4" t="n"/>
      <c r="AE24" s="4" t="n"/>
      <c r="AF24" s="5">
        <f>IF(AC24="High",5,IF(AC24="Medium",3,1))+IF(P24="High",3,IF(P24="Medium",2,1))+IF(M24&gt;0,2,0)</f>
        <v/>
      </c>
      <c r="AG24" s="5">
        <f>IF(AF24&gt;=8,"P1",IF(AF24&gt;=5,"P2","P3"))</f>
        <v/>
      </c>
      <c r="AH24" s="4" t="n"/>
      <c r="A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5">
        <f>IF(AND(G25&lt;&gt;"",Y25&lt;&gt;""),ROUND(H25*Y25,0),"")</f>
        <v/>
      </c>
      <c r="AA25" s="5">
        <f>IF(AND(G25&lt;&gt;"",Z25&lt;&gt;""),MAX(G25-Z25,0),"")</f>
        <v/>
      </c>
      <c r="AB25" s="5">
        <f>IF(AND(AA25&lt;&gt;"",O25&lt;&gt;""),AA25*O25,"")</f>
        <v/>
      </c>
      <c r="AC25" s="4" t="n"/>
      <c r="AD25" s="4" t="n"/>
      <c r="AE25" s="4" t="n"/>
      <c r="AF25" s="5">
        <f>IF(AC25="High",5,IF(AC25="Medium",3,1))+IF(P25="High",3,IF(P25="Medium",2,1))+IF(M25&gt;0,2,0)</f>
        <v/>
      </c>
      <c r="AG25" s="5">
        <f>IF(AF25&gt;=8,"P1",IF(AF25&gt;=5,"P2","P3"))</f>
        <v/>
      </c>
      <c r="AH25" s="4" t="n"/>
      <c r="A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5">
        <f>IF(AND(G26&lt;&gt;"",Y26&lt;&gt;""),ROUND(H26*Y26,0),"")</f>
        <v/>
      </c>
      <c r="AA26" s="5">
        <f>IF(AND(G26&lt;&gt;"",Z26&lt;&gt;""),MAX(G26-Z26,0),"")</f>
        <v/>
      </c>
      <c r="AB26" s="5">
        <f>IF(AND(AA26&lt;&gt;"",O26&lt;&gt;""),AA26*O26,"")</f>
        <v/>
      </c>
      <c r="AC26" s="4" t="n"/>
      <c r="AD26" s="4" t="n"/>
      <c r="AE26" s="4" t="n"/>
      <c r="AF26" s="5">
        <f>IF(AC26="High",5,IF(AC26="Medium",3,1))+IF(P26="High",3,IF(P26="Medium",2,1))+IF(M26&gt;0,2,0)</f>
        <v/>
      </c>
      <c r="AG26" s="5">
        <f>IF(AF26&gt;=8,"P1",IF(AF26&gt;=5,"P2","P3"))</f>
        <v/>
      </c>
      <c r="AH26" s="4" t="n"/>
      <c r="A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5">
        <f>IF(AND(G27&lt;&gt;"",Y27&lt;&gt;""),ROUND(H27*Y27,0),"")</f>
        <v/>
      </c>
      <c r="AA27" s="5">
        <f>IF(AND(G27&lt;&gt;"",Z27&lt;&gt;""),MAX(G27-Z27,0),"")</f>
        <v/>
      </c>
      <c r="AB27" s="5">
        <f>IF(AND(AA27&lt;&gt;"",O27&lt;&gt;""),AA27*O27,"")</f>
        <v/>
      </c>
      <c r="AC27" s="4" t="n"/>
      <c r="AD27" s="4" t="n"/>
      <c r="AE27" s="4" t="n"/>
      <c r="AF27" s="5">
        <f>IF(AC27="High",5,IF(AC27="Medium",3,1))+IF(P27="High",3,IF(P27="Medium",2,1))+IF(M27&gt;0,2,0)</f>
        <v/>
      </c>
      <c r="AG27" s="5">
        <f>IF(AF27&gt;=8,"P1",IF(AF27&gt;=5,"P2","P3"))</f>
        <v/>
      </c>
      <c r="AH27" s="4" t="n"/>
      <c r="A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5">
        <f>IF(AND(G28&lt;&gt;"",Y28&lt;&gt;""),ROUND(H28*Y28,0),"")</f>
        <v/>
      </c>
      <c r="AA28" s="5">
        <f>IF(AND(G28&lt;&gt;"",Z28&lt;&gt;""),MAX(G28-Z28,0),"")</f>
        <v/>
      </c>
      <c r="AB28" s="5">
        <f>IF(AND(AA28&lt;&gt;"",O28&lt;&gt;""),AA28*O28,"")</f>
        <v/>
      </c>
      <c r="AC28" s="4" t="n"/>
      <c r="AD28" s="4" t="n"/>
      <c r="AE28" s="4" t="n"/>
      <c r="AF28" s="5">
        <f>IF(AC28="High",5,IF(AC28="Medium",3,1))+IF(P28="High",3,IF(P28="Medium",2,1))+IF(M28&gt;0,2,0)</f>
        <v/>
      </c>
      <c r="AG28" s="5">
        <f>IF(AF28&gt;=8,"P1",IF(AF28&gt;=5,"P2","P3"))</f>
        <v/>
      </c>
      <c r="AH28" s="4" t="n"/>
      <c r="A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5">
        <f>IF(AND(G29&lt;&gt;"",Y29&lt;&gt;""),ROUND(H29*Y29,0),"")</f>
        <v/>
      </c>
      <c r="AA29" s="5">
        <f>IF(AND(G29&lt;&gt;"",Z29&lt;&gt;""),MAX(G29-Z29,0),"")</f>
        <v/>
      </c>
      <c r="AB29" s="5">
        <f>IF(AND(AA29&lt;&gt;"",O29&lt;&gt;""),AA29*O29,"")</f>
        <v/>
      </c>
      <c r="AC29" s="4" t="n"/>
      <c r="AD29" s="4" t="n"/>
      <c r="AE29" s="4" t="n"/>
      <c r="AF29" s="5">
        <f>IF(AC29="High",5,IF(AC29="Medium",3,1))+IF(P29="High",3,IF(P29="Medium",2,1))+IF(M29&gt;0,2,0)</f>
        <v/>
      </c>
      <c r="AG29" s="5">
        <f>IF(AF29&gt;=8,"P1",IF(AF29&gt;=5,"P2","P3"))</f>
        <v/>
      </c>
      <c r="AH29" s="4" t="n"/>
      <c r="A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5">
        <f>IF(AND(G30&lt;&gt;"",Y30&lt;&gt;""),ROUND(H30*Y30,0),"")</f>
        <v/>
      </c>
      <c r="AA30" s="5">
        <f>IF(AND(G30&lt;&gt;"",Z30&lt;&gt;""),MAX(G30-Z30,0),"")</f>
        <v/>
      </c>
      <c r="AB30" s="5">
        <f>IF(AND(AA30&lt;&gt;"",O30&lt;&gt;""),AA30*O30,"")</f>
        <v/>
      </c>
      <c r="AC30" s="4" t="n"/>
      <c r="AD30" s="4" t="n"/>
      <c r="AE30" s="4" t="n"/>
      <c r="AF30" s="5">
        <f>IF(AC30="High",5,IF(AC30="Medium",3,1))+IF(P30="High",3,IF(P30="Medium",2,1))+IF(M30&gt;0,2,0)</f>
        <v/>
      </c>
      <c r="AG30" s="5">
        <f>IF(AF30&gt;=8,"P1",IF(AF30&gt;=5,"P2","P3"))</f>
        <v/>
      </c>
      <c r="AH30" s="4" t="n"/>
      <c r="A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5">
        <f>IF(AND(G31&lt;&gt;"",Y31&lt;&gt;""),ROUND(H31*Y31,0),"")</f>
        <v/>
      </c>
      <c r="AA31" s="5">
        <f>IF(AND(G31&lt;&gt;"",Z31&lt;&gt;""),MAX(G31-Z31,0),"")</f>
        <v/>
      </c>
      <c r="AB31" s="5">
        <f>IF(AND(AA31&lt;&gt;"",O31&lt;&gt;""),AA31*O31,"")</f>
        <v/>
      </c>
      <c r="AC31" s="4" t="n"/>
      <c r="AD31" s="4" t="n"/>
      <c r="AE31" s="4" t="n"/>
      <c r="AF31" s="5">
        <f>IF(AC31="High",5,IF(AC31="Medium",3,1))+IF(P31="High",3,IF(P31="Medium",2,1))+IF(M31&gt;0,2,0)</f>
        <v/>
      </c>
      <c r="AG31" s="5">
        <f>IF(AF31&gt;=8,"P1",IF(AF31&gt;=5,"P2","P3"))</f>
        <v/>
      </c>
      <c r="AH31" s="4" t="n"/>
      <c r="A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5">
        <f>IF(AND(G32&lt;&gt;"",Y32&lt;&gt;""),ROUND(H32*Y32,0),"")</f>
        <v/>
      </c>
      <c r="AA32" s="5">
        <f>IF(AND(G32&lt;&gt;"",Z32&lt;&gt;""),MAX(G32-Z32,0),"")</f>
        <v/>
      </c>
      <c r="AB32" s="5">
        <f>IF(AND(AA32&lt;&gt;"",O32&lt;&gt;""),AA32*O32,"")</f>
        <v/>
      </c>
      <c r="AC32" s="4" t="n"/>
      <c r="AD32" s="4" t="n"/>
      <c r="AE32" s="4" t="n"/>
      <c r="AF32" s="5">
        <f>IF(AC32="High",5,IF(AC32="Medium",3,1))+IF(P32="High",3,IF(P32="Medium",2,1))+IF(M32&gt;0,2,0)</f>
        <v/>
      </c>
      <c r="AG32" s="5">
        <f>IF(AF32&gt;=8,"P1",IF(AF32&gt;=5,"P2","P3"))</f>
        <v/>
      </c>
      <c r="AH32" s="4" t="n"/>
      <c r="A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5">
        <f>IF(AND(G33&lt;&gt;"",Y33&lt;&gt;""),ROUND(H33*Y33,0),"")</f>
        <v/>
      </c>
      <c r="AA33" s="5">
        <f>IF(AND(G33&lt;&gt;"",Z33&lt;&gt;""),MAX(G33-Z33,0),"")</f>
        <v/>
      </c>
      <c r="AB33" s="5">
        <f>IF(AND(AA33&lt;&gt;"",O33&lt;&gt;""),AA33*O33,"")</f>
        <v/>
      </c>
      <c r="AC33" s="4" t="n"/>
      <c r="AD33" s="4" t="n"/>
      <c r="AE33" s="4" t="n"/>
      <c r="AF33" s="5">
        <f>IF(AC33="High",5,IF(AC33="Medium",3,1))+IF(P33="High",3,IF(P33="Medium",2,1))+IF(M33&gt;0,2,0)</f>
        <v/>
      </c>
      <c r="AG33" s="5">
        <f>IF(AF33&gt;=8,"P1",IF(AF33&gt;=5,"P2","P3"))</f>
        <v/>
      </c>
      <c r="AH33" s="4" t="n"/>
      <c r="A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5">
        <f>IF(AND(G34&lt;&gt;"",Y34&lt;&gt;""),ROUND(H34*Y34,0),"")</f>
        <v/>
      </c>
      <c r="AA34" s="5">
        <f>IF(AND(G34&lt;&gt;"",Z34&lt;&gt;""),MAX(G34-Z34,0),"")</f>
        <v/>
      </c>
      <c r="AB34" s="5">
        <f>IF(AND(AA34&lt;&gt;"",O34&lt;&gt;""),AA34*O34,"")</f>
        <v/>
      </c>
      <c r="AC34" s="4" t="n"/>
      <c r="AD34" s="4" t="n"/>
      <c r="AE34" s="4" t="n"/>
      <c r="AF34" s="5">
        <f>IF(AC34="High",5,IF(AC34="Medium",3,1))+IF(P34="High",3,IF(P34="Medium",2,1))+IF(M34&gt;0,2,0)</f>
        <v/>
      </c>
      <c r="AG34" s="5">
        <f>IF(AF34&gt;=8,"P1",IF(AF34&gt;=5,"P2","P3"))</f>
        <v/>
      </c>
      <c r="AH34" s="4" t="n"/>
      <c r="A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5">
        <f>IF(AND(G35&lt;&gt;"",Y35&lt;&gt;""),ROUND(H35*Y35,0),"")</f>
        <v/>
      </c>
      <c r="AA35" s="5">
        <f>IF(AND(G35&lt;&gt;"",Z35&lt;&gt;""),MAX(G35-Z35,0),"")</f>
        <v/>
      </c>
      <c r="AB35" s="5">
        <f>IF(AND(AA35&lt;&gt;"",O35&lt;&gt;""),AA35*O35,"")</f>
        <v/>
      </c>
      <c r="AC35" s="4" t="n"/>
      <c r="AD35" s="4" t="n"/>
      <c r="AE35" s="4" t="n"/>
      <c r="AF35" s="5">
        <f>IF(AC35="High",5,IF(AC35="Medium",3,1))+IF(P35="High",3,IF(P35="Medium",2,1))+IF(M35&gt;0,2,0)</f>
        <v/>
      </c>
      <c r="AG35" s="5">
        <f>IF(AF35&gt;=8,"P1",IF(AF35&gt;=5,"P2","P3"))</f>
        <v/>
      </c>
      <c r="AH35" s="4" t="n"/>
      <c r="A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5">
        <f>IF(AND(G36&lt;&gt;"",Y36&lt;&gt;""),ROUND(H36*Y36,0),"")</f>
        <v/>
      </c>
      <c r="AA36" s="5">
        <f>IF(AND(G36&lt;&gt;"",Z36&lt;&gt;""),MAX(G36-Z36,0),"")</f>
        <v/>
      </c>
      <c r="AB36" s="5">
        <f>IF(AND(AA36&lt;&gt;"",O36&lt;&gt;""),AA36*O36,"")</f>
        <v/>
      </c>
      <c r="AC36" s="4" t="n"/>
      <c r="AD36" s="4" t="n"/>
      <c r="AE36" s="4" t="n"/>
      <c r="AF36" s="5">
        <f>IF(AC36="High",5,IF(AC36="Medium",3,1))+IF(P36="High",3,IF(P36="Medium",2,1))+IF(M36&gt;0,2,0)</f>
        <v/>
      </c>
      <c r="AG36" s="5">
        <f>IF(AF36&gt;=8,"P1",IF(AF36&gt;=5,"P2","P3"))</f>
        <v/>
      </c>
      <c r="AH36" s="4" t="n"/>
      <c r="A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5">
        <f>IF(AND(G37&lt;&gt;"",Y37&lt;&gt;""),ROUND(H37*Y37,0),"")</f>
        <v/>
      </c>
      <c r="AA37" s="5">
        <f>IF(AND(G37&lt;&gt;"",Z37&lt;&gt;""),MAX(G37-Z37,0),"")</f>
        <v/>
      </c>
      <c r="AB37" s="5">
        <f>IF(AND(AA37&lt;&gt;"",O37&lt;&gt;""),AA37*O37,"")</f>
        <v/>
      </c>
      <c r="AC37" s="4" t="n"/>
      <c r="AD37" s="4" t="n"/>
      <c r="AE37" s="4" t="n"/>
      <c r="AF37" s="5">
        <f>IF(AC37="High",5,IF(AC37="Medium",3,1))+IF(P37="High",3,IF(P37="Medium",2,1))+IF(M37&gt;0,2,0)</f>
        <v/>
      </c>
      <c r="AG37" s="5">
        <f>IF(AF37&gt;=8,"P1",IF(AF37&gt;=5,"P2","P3"))</f>
        <v/>
      </c>
      <c r="AH37" s="4" t="n"/>
      <c r="A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5">
        <f>IF(AND(G38&lt;&gt;"",Y38&lt;&gt;""),ROUND(H38*Y38,0),"")</f>
        <v/>
      </c>
      <c r="AA38" s="5">
        <f>IF(AND(G38&lt;&gt;"",Z38&lt;&gt;""),MAX(G38-Z38,0),"")</f>
        <v/>
      </c>
      <c r="AB38" s="5">
        <f>IF(AND(AA38&lt;&gt;"",O38&lt;&gt;""),AA38*O38,"")</f>
        <v/>
      </c>
      <c r="AC38" s="4" t="n"/>
      <c r="AD38" s="4" t="n"/>
      <c r="AE38" s="4" t="n"/>
      <c r="AF38" s="5">
        <f>IF(AC38="High",5,IF(AC38="Medium",3,1))+IF(P38="High",3,IF(P38="Medium",2,1))+IF(M38&gt;0,2,0)</f>
        <v/>
      </c>
      <c r="AG38" s="5">
        <f>IF(AF38&gt;=8,"P1",IF(AF38&gt;=5,"P2","P3"))</f>
        <v/>
      </c>
      <c r="AH38" s="4" t="n"/>
      <c r="A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5">
        <f>IF(AND(G39&lt;&gt;"",Y39&lt;&gt;""),ROUND(H39*Y39,0),"")</f>
        <v/>
      </c>
      <c r="AA39" s="5">
        <f>IF(AND(G39&lt;&gt;"",Z39&lt;&gt;""),MAX(G39-Z39,0),"")</f>
        <v/>
      </c>
      <c r="AB39" s="5">
        <f>IF(AND(AA39&lt;&gt;"",O39&lt;&gt;""),AA39*O39,"")</f>
        <v/>
      </c>
      <c r="AC39" s="4" t="n"/>
      <c r="AD39" s="4" t="n"/>
      <c r="AE39" s="4" t="n"/>
      <c r="AF39" s="5">
        <f>IF(AC39="High",5,IF(AC39="Medium",3,1))+IF(P39="High",3,IF(P39="Medium",2,1))+IF(M39&gt;0,2,0)</f>
        <v/>
      </c>
      <c r="AG39" s="5">
        <f>IF(AF39&gt;=8,"P1",IF(AF39&gt;=5,"P2","P3"))</f>
        <v/>
      </c>
      <c r="AH39" s="4" t="n"/>
      <c r="A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5">
        <f>IF(AND(G40&lt;&gt;"",Y40&lt;&gt;""),ROUND(H40*Y40,0),"")</f>
        <v/>
      </c>
      <c r="AA40" s="5">
        <f>IF(AND(G40&lt;&gt;"",Z40&lt;&gt;""),MAX(G40-Z40,0),"")</f>
        <v/>
      </c>
      <c r="AB40" s="5">
        <f>IF(AND(AA40&lt;&gt;"",O40&lt;&gt;""),AA40*O40,"")</f>
        <v/>
      </c>
      <c r="AC40" s="4" t="n"/>
      <c r="AD40" s="4" t="n"/>
      <c r="AE40" s="4" t="n"/>
      <c r="AF40" s="5">
        <f>IF(AC40="High",5,IF(AC40="Medium",3,1))+IF(P40="High",3,IF(P40="Medium",2,1))+IF(M40&gt;0,2,0)</f>
        <v/>
      </c>
      <c r="AG40" s="5">
        <f>IF(AF40&gt;=8,"P1",IF(AF40&gt;=5,"P2","P3"))</f>
        <v/>
      </c>
      <c r="AH40" s="4" t="n"/>
      <c r="A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5">
        <f>IF(AND(G41&lt;&gt;"",Y41&lt;&gt;""),ROUND(H41*Y41,0),"")</f>
        <v/>
      </c>
      <c r="AA41" s="5">
        <f>IF(AND(G41&lt;&gt;"",Z41&lt;&gt;""),MAX(G41-Z41,0),"")</f>
        <v/>
      </c>
      <c r="AB41" s="5">
        <f>IF(AND(AA41&lt;&gt;"",O41&lt;&gt;""),AA41*O41,"")</f>
        <v/>
      </c>
      <c r="AC41" s="4" t="n"/>
      <c r="AD41" s="4" t="n"/>
      <c r="AE41" s="4" t="n"/>
      <c r="AF41" s="5">
        <f>IF(AC41="High",5,IF(AC41="Medium",3,1))+IF(P41="High",3,IF(P41="Medium",2,1))+IF(M41&gt;0,2,0)</f>
        <v/>
      </c>
      <c r="AG41" s="5">
        <f>IF(AF41&gt;=8,"P1",IF(AF41&gt;=5,"P2","P3"))</f>
        <v/>
      </c>
      <c r="AH41" s="4" t="n"/>
      <c r="A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5">
        <f>IF(AND(G42&lt;&gt;"",Y42&lt;&gt;""),ROUND(H42*Y42,0),"")</f>
        <v/>
      </c>
      <c r="AA42" s="5">
        <f>IF(AND(G42&lt;&gt;"",Z42&lt;&gt;""),MAX(G42-Z42,0),"")</f>
        <v/>
      </c>
      <c r="AB42" s="5">
        <f>IF(AND(AA42&lt;&gt;"",O42&lt;&gt;""),AA42*O42,"")</f>
        <v/>
      </c>
      <c r="AC42" s="4" t="n"/>
      <c r="AD42" s="4" t="n"/>
      <c r="AE42" s="4" t="n"/>
      <c r="AF42" s="5">
        <f>IF(AC42="High",5,IF(AC42="Medium",3,1))+IF(P42="High",3,IF(P42="Medium",2,1))+IF(M42&gt;0,2,0)</f>
        <v/>
      </c>
      <c r="AG42" s="5">
        <f>IF(AF42&gt;=8,"P1",IF(AF42&gt;=5,"P2","P3"))</f>
        <v/>
      </c>
      <c r="AH42" s="4" t="n"/>
      <c r="A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5">
        <f>IF(AND(G43&lt;&gt;"",Y43&lt;&gt;""),ROUND(H43*Y43,0),"")</f>
        <v/>
      </c>
      <c r="AA43" s="5">
        <f>IF(AND(G43&lt;&gt;"",Z43&lt;&gt;""),MAX(G43-Z43,0),"")</f>
        <v/>
      </c>
      <c r="AB43" s="5">
        <f>IF(AND(AA43&lt;&gt;"",O43&lt;&gt;""),AA43*O43,"")</f>
        <v/>
      </c>
      <c r="AC43" s="4" t="n"/>
      <c r="AD43" s="4" t="n"/>
      <c r="AE43" s="4" t="n"/>
      <c r="AF43" s="5">
        <f>IF(AC43="High",5,IF(AC43="Medium",3,1))+IF(P43="High",3,IF(P43="Medium",2,1))+IF(M43&gt;0,2,0)</f>
        <v/>
      </c>
      <c r="AG43" s="5">
        <f>IF(AF43&gt;=8,"P1",IF(AF43&gt;=5,"P2","P3"))</f>
        <v/>
      </c>
      <c r="AH43" s="4" t="n"/>
      <c r="A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5">
        <f>IF(AND(G44&lt;&gt;"",Y44&lt;&gt;""),ROUND(H44*Y44,0),"")</f>
        <v/>
      </c>
      <c r="AA44" s="5">
        <f>IF(AND(G44&lt;&gt;"",Z44&lt;&gt;""),MAX(G44-Z44,0),"")</f>
        <v/>
      </c>
      <c r="AB44" s="5">
        <f>IF(AND(AA44&lt;&gt;"",O44&lt;&gt;""),AA44*O44,"")</f>
        <v/>
      </c>
      <c r="AC44" s="4" t="n"/>
      <c r="AD44" s="4" t="n"/>
      <c r="AE44" s="4" t="n"/>
      <c r="AF44" s="5">
        <f>IF(AC44="High",5,IF(AC44="Medium",3,1))+IF(P44="High",3,IF(P44="Medium",2,1))+IF(M44&gt;0,2,0)</f>
        <v/>
      </c>
      <c r="AG44" s="5">
        <f>IF(AF44&gt;=8,"P1",IF(AF44&gt;=5,"P2","P3"))</f>
        <v/>
      </c>
      <c r="AH44" s="4" t="n"/>
      <c r="A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5">
        <f>IF(AND(G45&lt;&gt;"",Y45&lt;&gt;""),ROUND(H45*Y45,0),"")</f>
        <v/>
      </c>
      <c r="AA45" s="5">
        <f>IF(AND(G45&lt;&gt;"",Z45&lt;&gt;""),MAX(G45-Z45,0),"")</f>
        <v/>
      </c>
      <c r="AB45" s="5">
        <f>IF(AND(AA45&lt;&gt;"",O45&lt;&gt;""),AA45*O45,"")</f>
        <v/>
      </c>
      <c r="AC45" s="4" t="n"/>
      <c r="AD45" s="4" t="n"/>
      <c r="AE45" s="4" t="n"/>
      <c r="AF45" s="5">
        <f>IF(AC45="High",5,IF(AC45="Medium",3,1))+IF(P45="High",3,IF(P45="Medium",2,1))+IF(M45&gt;0,2,0)</f>
        <v/>
      </c>
      <c r="AG45" s="5">
        <f>IF(AF45&gt;=8,"P1",IF(AF45&gt;=5,"P2","P3"))</f>
        <v/>
      </c>
      <c r="AH45" s="4" t="n"/>
      <c r="A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5">
        <f>IF(AND(G46&lt;&gt;"",Y46&lt;&gt;""),ROUND(H46*Y46,0),"")</f>
        <v/>
      </c>
      <c r="AA46" s="5">
        <f>IF(AND(G46&lt;&gt;"",Z46&lt;&gt;""),MAX(G46-Z46,0),"")</f>
        <v/>
      </c>
      <c r="AB46" s="5">
        <f>IF(AND(AA46&lt;&gt;"",O46&lt;&gt;""),AA46*O46,"")</f>
        <v/>
      </c>
      <c r="AC46" s="4" t="n"/>
      <c r="AD46" s="4" t="n"/>
      <c r="AE46" s="4" t="n"/>
      <c r="AF46" s="5">
        <f>IF(AC46="High",5,IF(AC46="Medium",3,1))+IF(P46="High",3,IF(P46="Medium",2,1))+IF(M46&gt;0,2,0)</f>
        <v/>
      </c>
      <c r="AG46" s="5">
        <f>IF(AF46&gt;=8,"P1",IF(AF46&gt;=5,"P2","P3"))</f>
        <v/>
      </c>
      <c r="AH46" s="4" t="n"/>
      <c r="A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5">
        <f>IF(AND(G47&lt;&gt;"",Y47&lt;&gt;""),ROUND(H47*Y47,0),"")</f>
        <v/>
      </c>
      <c r="AA47" s="5">
        <f>IF(AND(G47&lt;&gt;"",Z47&lt;&gt;""),MAX(G47-Z47,0),"")</f>
        <v/>
      </c>
      <c r="AB47" s="5">
        <f>IF(AND(AA47&lt;&gt;"",O47&lt;&gt;""),AA47*O47,"")</f>
        <v/>
      </c>
      <c r="AC47" s="4" t="n"/>
      <c r="AD47" s="4" t="n"/>
      <c r="AE47" s="4" t="n"/>
      <c r="AF47" s="5">
        <f>IF(AC47="High",5,IF(AC47="Medium",3,1))+IF(P47="High",3,IF(P47="Medium",2,1))+IF(M47&gt;0,2,0)</f>
        <v/>
      </c>
      <c r="AG47" s="5">
        <f>IF(AF47&gt;=8,"P1",IF(AF47&gt;=5,"P2","P3"))</f>
        <v/>
      </c>
      <c r="AH47" s="4" t="n"/>
      <c r="A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5">
        <f>IF(AND(G48&lt;&gt;"",Y48&lt;&gt;""),ROUND(H48*Y48,0),"")</f>
        <v/>
      </c>
      <c r="AA48" s="5">
        <f>IF(AND(G48&lt;&gt;"",Z48&lt;&gt;""),MAX(G48-Z48,0),"")</f>
        <v/>
      </c>
      <c r="AB48" s="5">
        <f>IF(AND(AA48&lt;&gt;"",O48&lt;&gt;""),AA48*O48,"")</f>
        <v/>
      </c>
      <c r="AC48" s="4" t="n"/>
      <c r="AD48" s="4" t="n"/>
      <c r="AE48" s="4" t="n"/>
      <c r="AF48" s="5">
        <f>IF(AC48="High",5,IF(AC48="Medium",3,1))+IF(P48="High",3,IF(P48="Medium",2,1))+IF(M48&gt;0,2,0)</f>
        <v/>
      </c>
      <c r="AG48" s="5">
        <f>IF(AF48&gt;=8,"P1",IF(AF48&gt;=5,"P2","P3"))</f>
        <v/>
      </c>
      <c r="AH48" s="4" t="n"/>
      <c r="A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5">
        <f>IF(AND(G49&lt;&gt;"",Y49&lt;&gt;""),ROUND(H49*Y49,0),"")</f>
        <v/>
      </c>
      <c r="AA49" s="5">
        <f>IF(AND(G49&lt;&gt;"",Z49&lt;&gt;""),MAX(G49-Z49,0),"")</f>
        <v/>
      </c>
      <c r="AB49" s="5">
        <f>IF(AND(AA49&lt;&gt;"",O49&lt;&gt;""),AA49*O49,"")</f>
        <v/>
      </c>
      <c r="AC49" s="4" t="n"/>
      <c r="AD49" s="4" t="n"/>
      <c r="AE49" s="4" t="n"/>
      <c r="AF49" s="5">
        <f>IF(AC49="High",5,IF(AC49="Medium",3,1))+IF(P49="High",3,IF(P49="Medium",2,1))+IF(M49&gt;0,2,0)</f>
        <v/>
      </c>
      <c r="AG49" s="5">
        <f>IF(AF49&gt;=8,"P1",IF(AF49&gt;=5,"P2","P3"))</f>
        <v/>
      </c>
      <c r="AH49" s="4" t="n"/>
      <c r="A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5">
        <f>IF(AND(G50&lt;&gt;"",Y50&lt;&gt;""),ROUND(H50*Y50,0),"")</f>
        <v/>
      </c>
      <c r="AA50" s="5">
        <f>IF(AND(G50&lt;&gt;"",Z50&lt;&gt;""),MAX(G50-Z50,0),"")</f>
        <v/>
      </c>
      <c r="AB50" s="5">
        <f>IF(AND(AA50&lt;&gt;"",O50&lt;&gt;""),AA50*O50,"")</f>
        <v/>
      </c>
      <c r="AC50" s="4" t="n"/>
      <c r="AD50" s="4" t="n"/>
      <c r="AE50" s="4" t="n"/>
      <c r="AF50" s="5">
        <f>IF(AC50="High",5,IF(AC50="Medium",3,1))+IF(P50="High",3,IF(P50="Medium",2,1))+IF(M50&gt;0,2,0)</f>
        <v/>
      </c>
      <c r="AG50" s="5">
        <f>IF(AF50&gt;=8,"P1",IF(AF50&gt;=5,"P2","P3"))</f>
        <v/>
      </c>
      <c r="AH50" s="4" t="n"/>
      <c r="A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5">
        <f>IF(AND(G51&lt;&gt;"",Y51&lt;&gt;""),ROUND(H51*Y51,0),"")</f>
        <v/>
      </c>
      <c r="AA51" s="5">
        <f>IF(AND(G51&lt;&gt;"",Z51&lt;&gt;""),MAX(G51-Z51,0),"")</f>
        <v/>
      </c>
      <c r="AB51" s="5">
        <f>IF(AND(AA51&lt;&gt;"",O51&lt;&gt;""),AA51*O51,"")</f>
        <v/>
      </c>
      <c r="AC51" s="4" t="n"/>
      <c r="AD51" s="4" t="n"/>
      <c r="AE51" s="4" t="n"/>
      <c r="AF51" s="5">
        <f>IF(AC51="High",5,IF(AC51="Medium",3,1))+IF(P51="High",3,IF(P51="Medium",2,1))+IF(M51&gt;0,2,0)</f>
        <v/>
      </c>
      <c r="AG51" s="5">
        <f>IF(AF51&gt;=8,"P1",IF(AF51&gt;=5,"P2","P3"))</f>
        <v/>
      </c>
      <c r="AH51" s="4" t="n"/>
      <c r="A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5">
        <f>IF(AND(G52&lt;&gt;"",Y52&lt;&gt;""),ROUND(H52*Y52,0),"")</f>
        <v/>
      </c>
      <c r="AA52" s="5">
        <f>IF(AND(G52&lt;&gt;"",Z52&lt;&gt;""),MAX(G52-Z52,0),"")</f>
        <v/>
      </c>
      <c r="AB52" s="5">
        <f>IF(AND(AA52&lt;&gt;"",O52&lt;&gt;""),AA52*O52,"")</f>
        <v/>
      </c>
      <c r="AC52" s="4" t="n"/>
      <c r="AD52" s="4" t="n"/>
      <c r="AE52" s="4" t="n"/>
      <c r="AF52" s="5">
        <f>IF(AC52="High",5,IF(AC52="Medium",3,1))+IF(P52="High",3,IF(P52="Medium",2,1))+IF(M52&gt;0,2,0)</f>
        <v/>
      </c>
      <c r="AG52" s="5">
        <f>IF(AF52&gt;=8,"P1",IF(AF52&gt;=5,"P2","P3"))</f>
        <v/>
      </c>
      <c r="AH52" s="4" t="n"/>
      <c r="A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5">
        <f>IF(AND(G53&lt;&gt;"",Y53&lt;&gt;""),ROUND(H53*Y53,0),"")</f>
        <v/>
      </c>
      <c r="AA53" s="5">
        <f>IF(AND(G53&lt;&gt;"",Z53&lt;&gt;""),MAX(G53-Z53,0),"")</f>
        <v/>
      </c>
      <c r="AB53" s="5">
        <f>IF(AND(AA53&lt;&gt;"",O53&lt;&gt;""),AA53*O53,"")</f>
        <v/>
      </c>
      <c r="AC53" s="4" t="n"/>
      <c r="AD53" s="4" t="n"/>
      <c r="AE53" s="4" t="n"/>
      <c r="AF53" s="5">
        <f>IF(AC53="High",5,IF(AC53="Medium",3,1))+IF(P53="High",3,IF(P53="Medium",2,1))+IF(M53&gt;0,2,0)</f>
        <v/>
      </c>
      <c r="AG53" s="5">
        <f>IF(AF53&gt;=8,"P1",IF(AF53&gt;=5,"P2","P3"))</f>
        <v/>
      </c>
      <c r="AH53" s="4" t="n"/>
      <c r="A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5">
        <f>IF(AND(G54&lt;&gt;"",Y54&lt;&gt;""),ROUND(H54*Y54,0),"")</f>
        <v/>
      </c>
      <c r="AA54" s="5">
        <f>IF(AND(G54&lt;&gt;"",Z54&lt;&gt;""),MAX(G54-Z54,0),"")</f>
        <v/>
      </c>
      <c r="AB54" s="5">
        <f>IF(AND(AA54&lt;&gt;"",O54&lt;&gt;""),AA54*O54,"")</f>
        <v/>
      </c>
      <c r="AC54" s="4" t="n"/>
      <c r="AD54" s="4" t="n"/>
      <c r="AE54" s="4" t="n"/>
      <c r="AF54" s="5">
        <f>IF(AC54="High",5,IF(AC54="Medium",3,1))+IF(P54="High",3,IF(P54="Medium",2,1))+IF(M54&gt;0,2,0)</f>
        <v/>
      </c>
      <c r="AG54" s="5">
        <f>IF(AF54&gt;=8,"P1",IF(AF54&gt;=5,"P2","P3"))</f>
        <v/>
      </c>
      <c r="AH54" s="4" t="n"/>
      <c r="A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5">
        <f>IF(AND(G55&lt;&gt;"",Y55&lt;&gt;""),ROUND(H55*Y55,0),"")</f>
        <v/>
      </c>
      <c r="AA55" s="5">
        <f>IF(AND(G55&lt;&gt;"",Z55&lt;&gt;""),MAX(G55-Z55,0),"")</f>
        <v/>
      </c>
      <c r="AB55" s="5">
        <f>IF(AND(AA55&lt;&gt;"",O55&lt;&gt;""),AA55*O55,"")</f>
        <v/>
      </c>
      <c r="AC55" s="4" t="n"/>
      <c r="AD55" s="4" t="n"/>
      <c r="AE55" s="4" t="n"/>
      <c r="AF55" s="5">
        <f>IF(AC55="High",5,IF(AC55="Medium",3,1))+IF(P55="High",3,IF(P55="Medium",2,1))+IF(M55&gt;0,2,0)</f>
        <v/>
      </c>
      <c r="AG55" s="5">
        <f>IF(AF55&gt;=8,"P1",IF(AF55&gt;=5,"P2","P3"))</f>
        <v/>
      </c>
      <c r="AH55" s="4" t="n"/>
      <c r="A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5">
        <f>IF(AND(G56&lt;&gt;"",Y56&lt;&gt;""),ROUND(H56*Y56,0),"")</f>
        <v/>
      </c>
      <c r="AA56" s="5">
        <f>IF(AND(G56&lt;&gt;"",Z56&lt;&gt;""),MAX(G56-Z56,0),"")</f>
        <v/>
      </c>
      <c r="AB56" s="5">
        <f>IF(AND(AA56&lt;&gt;"",O56&lt;&gt;""),AA56*O56,"")</f>
        <v/>
      </c>
      <c r="AC56" s="4" t="n"/>
      <c r="AD56" s="4" t="n"/>
      <c r="AE56" s="4" t="n"/>
      <c r="AF56" s="5">
        <f>IF(AC56="High",5,IF(AC56="Medium",3,1))+IF(P56="High",3,IF(P56="Medium",2,1))+IF(M56&gt;0,2,0)</f>
        <v/>
      </c>
      <c r="AG56" s="5">
        <f>IF(AF56&gt;=8,"P1",IF(AF56&gt;=5,"P2","P3"))</f>
        <v/>
      </c>
      <c r="AH56" s="4" t="n"/>
      <c r="A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5">
        <f>IF(AND(G57&lt;&gt;"",Y57&lt;&gt;""),ROUND(H57*Y57,0),"")</f>
        <v/>
      </c>
      <c r="AA57" s="5">
        <f>IF(AND(G57&lt;&gt;"",Z57&lt;&gt;""),MAX(G57-Z57,0),"")</f>
        <v/>
      </c>
      <c r="AB57" s="5">
        <f>IF(AND(AA57&lt;&gt;"",O57&lt;&gt;""),AA57*O57,"")</f>
        <v/>
      </c>
      <c r="AC57" s="4" t="n"/>
      <c r="AD57" s="4" t="n"/>
      <c r="AE57" s="4" t="n"/>
      <c r="AF57" s="5">
        <f>IF(AC57="High",5,IF(AC57="Medium",3,1))+IF(P57="High",3,IF(P57="Medium",2,1))+IF(M57&gt;0,2,0)</f>
        <v/>
      </c>
      <c r="AG57" s="5">
        <f>IF(AF57&gt;=8,"P1",IF(AF57&gt;=5,"P2","P3"))</f>
        <v/>
      </c>
      <c r="AH57" s="4" t="n"/>
      <c r="A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5">
        <f>IF(AND(G58&lt;&gt;"",Y58&lt;&gt;""),ROUND(H58*Y58,0),"")</f>
        <v/>
      </c>
      <c r="AA58" s="5">
        <f>IF(AND(G58&lt;&gt;"",Z58&lt;&gt;""),MAX(G58-Z58,0),"")</f>
        <v/>
      </c>
      <c r="AB58" s="5">
        <f>IF(AND(AA58&lt;&gt;"",O58&lt;&gt;""),AA58*O58,"")</f>
        <v/>
      </c>
      <c r="AC58" s="4" t="n"/>
      <c r="AD58" s="4" t="n"/>
      <c r="AE58" s="4" t="n"/>
      <c r="AF58" s="5">
        <f>IF(AC58="High",5,IF(AC58="Medium",3,1))+IF(P58="High",3,IF(P58="Medium",2,1))+IF(M58&gt;0,2,0)</f>
        <v/>
      </c>
      <c r="AG58" s="5">
        <f>IF(AF58&gt;=8,"P1",IF(AF58&gt;=5,"P2","P3"))</f>
        <v/>
      </c>
      <c r="AH58" s="4" t="n"/>
      <c r="A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5">
        <f>IF(AND(G59&lt;&gt;"",Y59&lt;&gt;""),ROUND(H59*Y59,0),"")</f>
        <v/>
      </c>
      <c r="AA59" s="5">
        <f>IF(AND(G59&lt;&gt;"",Z59&lt;&gt;""),MAX(G59-Z59,0),"")</f>
        <v/>
      </c>
      <c r="AB59" s="5">
        <f>IF(AND(AA59&lt;&gt;"",O59&lt;&gt;""),AA59*O59,"")</f>
        <v/>
      </c>
      <c r="AC59" s="4" t="n"/>
      <c r="AD59" s="4" t="n"/>
      <c r="AE59" s="4" t="n"/>
      <c r="AF59" s="5">
        <f>IF(AC59="High",5,IF(AC59="Medium",3,1))+IF(P59="High",3,IF(P59="Medium",2,1))+IF(M59&gt;0,2,0)</f>
        <v/>
      </c>
      <c r="AG59" s="5">
        <f>IF(AF59&gt;=8,"P1",IF(AF59&gt;=5,"P2","P3"))</f>
        <v/>
      </c>
      <c r="AH59" s="4" t="n"/>
      <c r="A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5">
        <f>IF(AND(G60&lt;&gt;"",Y60&lt;&gt;""),ROUND(H60*Y60,0),"")</f>
        <v/>
      </c>
      <c r="AA60" s="5">
        <f>IF(AND(G60&lt;&gt;"",Z60&lt;&gt;""),MAX(G60-Z60,0),"")</f>
        <v/>
      </c>
      <c r="AB60" s="5">
        <f>IF(AND(AA60&lt;&gt;"",O60&lt;&gt;""),AA60*O60,"")</f>
        <v/>
      </c>
      <c r="AC60" s="4" t="n"/>
      <c r="AD60" s="4" t="n"/>
      <c r="AE60" s="4" t="n"/>
      <c r="AF60" s="5">
        <f>IF(AC60="High",5,IF(AC60="Medium",3,1))+IF(P60="High",3,IF(P60="Medium",2,1))+IF(M60&gt;0,2,0)</f>
        <v/>
      </c>
      <c r="AG60" s="5">
        <f>IF(AF60&gt;=8,"P1",IF(AF60&gt;=5,"P2","P3"))</f>
        <v/>
      </c>
      <c r="AH60" s="4" t="n"/>
      <c r="A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5">
        <f>IF(AND(G61&lt;&gt;"",Y61&lt;&gt;""),ROUND(H61*Y61,0),"")</f>
        <v/>
      </c>
      <c r="AA61" s="5">
        <f>IF(AND(G61&lt;&gt;"",Z61&lt;&gt;""),MAX(G61-Z61,0),"")</f>
        <v/>
      </c>
      <c r="AB61" s="5">
        <f>IF(AND(AA61&lt;&gt;"",O61&lt;&gt;""),AA61*O61,"")</f>
        <v/>
      </c>
      <c r="AC61" s="4" t="n"/>
      <c r="AD61" s="4" t="n"/>
      <c r="AE61" s="4" t="n"/>
      <c r="AF61" s="5">
        <f>IF(AC61="High",5,IF(AC61="Medium",3,1))+IF(P61="High",3,IF(P61="Medium",2,1))+IF(M61&gt;0,2,0)</f>
        <v/>
      </c>
      <c r="AG61" s="5">
        <f>IF(AF61&gt;=8,"P1",IF(AF61&gt;=5,"P2","P3"))</f>
        <v/>
      </c>
      <c r="AH61" s="4" t="n"/>
      <c r="A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5">
        <f>IF(AND(G62&lt;&gt;"",Y62&lt;&gt;""),ROUND(H62*Y62,0),"")</f>
        <v/>
      </c>
      <c r="AA62" s="5">
        <f>IF(AND(G62&lt;&gt;"",Z62&lt;&gt;""),MAX(G62-Z62,0),"")</f>
        <v/>
      </c>
      <c r="AB62" s="5">
        <f>IF(AND(AA62&lt;&gt;"",O62&lt;&gt;""),AA62*O62,"")</f>
        <v/>
      </c>
      <c r="AC62" s="4" t="n"/>
      <c r="AD62" s="4" t="n"/>
      <c r="AE62" s="4" t="n"/>
      <c r="AF62" s="5">
        <f>IF(AC62="High",5,IF(AC62="Medium",3,1))+IF(P62="High",3,IF(P62="Medium",2,1))+IF(M62&gt;0,2,0)</f>
        <v/>
      </c>
      <c r="AG62" s="5">
        <f>IF(AF62&gt;=8,"P1",IF(AF62&gt;=5,"P2","P3"))</f>
        <v/>
      </c>
      <c r="AH62" s="4" t="n"/>
      <c r="A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5">
        <f>IF(AND(G63&lt;&gt;"",Y63&lt;&gt;""),ROUND(H63*Y63,0),"")</f>
        <v/>
      </c>
      <c r="AA63" s="5">
        <f>IF(AND(G63&lt;&gt;"",Z63&lt;&gt;""),MAX(G63-Z63,0),"")</f>
        <v/>
      </c>
      <c r="AB63" s="5">
        <f>IF(AND(AA63&lt;&gt;"",O63&lt;&gt;""),AA63*O63,"")</f>
        <v/>
      </c>
      <c r="AC63" s="4" t="n"/>
      <c r="AD63" s="4" t="n"/>
      <c r="AE63" s="4" t="n"/>
      <c r="AF63" s="5">
        <f>IF(AC63="High",5,IF(AC63="Medium",3,1))+IF(P63="High",3,IF(P63="Medium",2,1))+IF(M63&gt;0,2,0)</f>
        <v/>
      </c>
      <c r="AG63" s="5">
        <f>IF(AF63&gt;=8,"P1",IF(AF63&gt;=5,"P2","P3"))</f>
        <v/>
      </c>
      <c r="AH63" s="4" t="n"/>
      <c r="A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5">
        <f>IF(AND(G64&lt;&gt;"",Y64&lt;&gt;""),ROUND(H64*Y64,0),"")</f>
        <v/>
      </c>
      <c r="AA64" s="5">
        <f>IF(AND(G64&lt;&gt;"",Z64&lt;&gt;""),MAX(G64-Z64,0),"")</f>
        <v/>
      </c>
      <c r="AB64" s="5">
        <f>IF(AND(AA64&lt;&gt;"",O64&lt;&gt;""),AA64*O64,"")</f>
        <v/>
      </c>
      <c r="AC64" s="4" t="n"/>
      <c r="AD64" s="4" t="n"/>
      <c r="AE64" s="4" t="n"/>
      <c r="AF64" s="5">
        <f>IF(AC64="High",5,IF(AC64="Medium",3,1))+IF(P64="High",3,IF(P64="Medium",2,1))+IF(M64&gt;0,2,0)</f>
        <v/>
      </c>
      <c r="AG64" s="5">
        <f>IF(AF64&gt;=8,"P1",IF(AF64&gt;=5,"P2","P3"))</f>
        <v/>
      </c>
      <c r="AH64" s="4" t="n"/>
      <c r="A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5">
        <f>IF(AND(G65&lt;&gt;"",Y65&lt;&gt;""),ROUND(H65*Y65,0),"")</f>
        <v/>
      </c>
      <c r="AA65" s="5">
        <f>IF(AND(G65&lt;&gt;"",Z65&lt;&gt;""),MAX(G65-Z65,0),"")</f>
        <v/>
      </c>
      <c r="AB65" s="5">
        <f>IF(AND(AA65&lt;&gt;"",O65&lt;&gt;""),AA65*O65,"")</f>
        <v/>
      </c>
      <c r="AC65" s="4" t="n"/>
      <c r="AD65" s="4" t="n"/>
      <c r="AE65" s="4" t="n"/>
      <c r="AF65" s="5">
        <f>IF(AC65="High",5,IF(AC65="Medium",3,1))+IF(P65="High",3,IF(P65="Medium",2,1))+IF(M65&gt;0,2,0)</f>
        <v/>
      </c>
      <c r="AG65" s="5">
        <f>IF(AF65&gt;=8,"P1",IF(AF65&gt;=5,"P2","P3"))</f>
        <v/>
      </c>
      <c r="AH65" s="4" t="n"/>
      <c r="A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5">
        <f>IF(AND(G66&lt;&gt;"",Y66&lt;&gt;""),ROUND(H66*Y66,0),"")</f>
        <v/>
      </c>
      <c r="AA66" s="5">
        <f>IF(AND(G66&lt;&gt;"",Z66&lt;&gt;""),MAX(G66-Z66,0),"")</f>
        <v/>
      </c>
      <c r="AB66" s="5">
        <f>IF(AND(AA66&lt;&gt;"",O66&lt;&gt;""),AA66*O66,"")</f>
        <v/>
      </c>
      <c r="AC66" s="4" t="n"/>
      <c r="AD66" s="4" t="n"/>
      <c r="AE66" s="4" t="n"/>
      <c r="AF66" s="5">
        <f>IF(AC66="High",5,IF(AC66="Medium",3,1))+IF(P66="High",3,IF(P66="Medium",2,1))+IF(M66&gt;0,2,0)</f>
        <v/>
      </c>
      <c r="AG66" s="5">
        <f>IF(AF66&gt;=8,"P1",IF(AF66&gt;=5,"P2","P3"))</f>
        <v/>
      </c>
      <c r="AH66" s="4" t="n"/>
      <c r="A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5">
        <f>IF(AND(G67&lt;&gt;"",Y67&lt;&gt;""),ROUND(H67*Y67,0),"")</f>
        <v/>
      </c>
      <c r="AA67" s="5">
        <f>IF(AND(G67&lt;&gt;"",Z67&lt;&gt;""),MAX(G67-Z67,0),"")</f>
        <v/>
      </c>
      <c r="AB67" s="5">
        <f>IF(AND(AA67&lt;&gt;"",O67&lt;&gt;""),AA67*O67,"")</f>
        <v/>
      </c>
      <c r="AC67" s="4" t="n"/>
      <c r="AD67" s="4" t="n"/>
      <c r="AE67" s="4" t="n"/>
      <c r="AF67" s="5">
        <f>IF(AC67="High",5,IF(AC67="Medium",3,1))+IF(P67="High",3,IF(P67="Medium",2,1))+IF(M67&gt;0,2,0)</f>
        <v/>
      </c>
      <c r="AG67" s="5">
        <f>IF(AF67&gt;=8,"P1",IF(AF67&gt;=5,"P2","P3"))</f>
        <v/>
      </c>
      <c r="AH67" s="4" t="n"/>
      <c r="A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5">
        <f>IF(AND(G68&lt;&gt;"",Y68&lt;&gt;""),ROUND(H68*Y68,0),"")</f>
        <v/>
      </c>
      <c r="AA68" s="5">
        <f>IF(AND(G68&lt;&gt;"",Z68&lt;&gt;""),MAX(G68-Z68,0),"")</f>
        <v/>
      </c>
      <c r="AB68" s="5">
        <f>IF(AND(AA68&lt;&gt;"",O68&lt;&gt;""),AA68*O68,"")</f>
        <v/>
      </c>
      <c r="AC68" s="4" t="n"/>
      <c r="AD68" s="4" t="n"/>
      <c r="AE68" s="4" t="n"/>
      <c r="AF68" s="5">
        <f>IF(AC68="High",5,IF(AC68="Medium",3,1))+IF(P68="High",3,IF(P68="Medium",2,1))+IF(M68&gt;0,2,0)</f>
        <v/>
      </c>
      <c r="AG68" s="5">
        <f>IF(AF68&gt;=8,"P1",IF(AF68&gt;=5,"P2","P3"))</f>
        <v/>
      </c>
      <c r="AH68" s="4" t="n"/>
      <c r="A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5">
        <f>IF(AND(G69&lt;&gt;"",Y69&lt;&gt;""),ROUND(H69*Y69,0),"")</f>
        <v/>
      </c>
      <c r="AA69" s="5">
        <f>IF(AND(G69&lt;&gt;"",Z69&lt;&gt;""),MAX(G69-Z69,0),"")</f>
        <v/>
      </c>
      <c r="AB69" s="5">
        <f>IF(AND(AA69&lt;&gt;"",O69&lt;&gt;""),AA69*O69,"")</f>
        <v/>
      </c>
      <c r="AC69" s="4" t="n"/>
      <c r="AD69" s="4" t="n"/>
      <c r="AE69" s="4" t="n"/>
      <c r="AF69" s="5">
        <f>IF(AC69="High",5,IF(AC69="Medium",3,1))+IF(P69="High",3,IF(P69="Medium",2,1))+IF(M69&gt;0,2,0)</f>
        <v/>
      </c>
      <c r="AG69" s="5">
        <f>IF(AF69&gt;=8,"P1",IF(AF69&gt;=5,"P2","P3"))</f>
        <v/>
      </c>
      <c r="AH69" s="4" t="n"/>
      <c r="A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5">
        <f>IF(AND(G70&lt;&gt;"",Y70&lt;&gt;""),ROUND(H70*Y70,0),"")</f>
        <v/>
      </c>
      <c r="AA70" s="5">
        <f>IF(AND(G70&lt;&gt;"",Z70&lt;&gt;""),MAX(G70-Z70,0),"")</f>
        <v/>
      </c>
      <c r="AB70" s="5">
        <f>IF(AND(AA70&lt;&gt;"",O70&lt;&gt;""),AA70*O70,"")</f>
        <v/>
      </c>
      <c r="AC70" s="4" t="n"/>
      <c r="AD70" s="4" t="n"/>
      <c r="AE70" s="4" t="n"/>
      <c r="AF70" s="5">
        <f>IF(AC70="High",5,IF(AC70="Medium",3,1))+IF(P70="High",3,IF(P70="Medium",2,1))+IF(M70&gt;0,2,0)</f>
        <v/>
      </c>
      <c r="AG70" s="5">
        <f>IF(AF70&gt;=8,"P1",IF(AF70&gt;=5,"P2","P3"))</f>
        <v/>
      </c>
      <c r="AH70" s="4" t="n"/>
      <c r="A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5">
        <f>IF(AND(G71&lt;&gt;"",Y71&lt;&gt;""),ROUND(H71*Y71,0),"")</f>
        <v/>
      </c>
      <c r="AA71" s="5">
        <f>IF(AND(G71&lt;&gt;"",Z71&lt;&gt;""),MAX(G71-Z71,0),"")</f>
        <v/>
      </c>
      <c r="AB71" s="5">
        <f>IF(AND(AA71&lt;&gt;"",O71&lt;&gt;""),AA71*O71,"")</f>
        <v/>
      </c>
      <c r="AC71" s="4" t="n"/>
      <c r="AD71" s="4" t="n"/>
      <c r="AE71" s="4" t="n"/>
      <c r="AF71" s="5">
        <f>IF(AC71="High",5,IF(AC71="Medium",3,1))+IF(P71="High",3,IF(P71="Medium",2,1))+IF(M71&gt;0,2,0)</f>
        <v/>
      </c>
      <c r="AG71" s="5">
        <f>IF(AF71&gt;=8,"P1",IF(AF71&gt;=5,"P2","P3"))</f>
        <v/>
      </c>
      <c r="AH71" s="4" t="n"/>
      <c r="A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5">
        <f>IF(AND(G72&lt;&gt;"",Y72&lt;&gt;""),ROUND(H72*Y72,0),"")</f>
        <v/>
      </c>
      <c r="AA72" s="5">
        <f>IF(AND(G72&lt;&gt;"",Z72&lt;&gt;""),MAX(G72-Z72,0),"")</f>
        <v/>
      </c>
      <c r="AB72" s="5">
        <f>IF(AND(AA72&lt;&gt;"",O72&lt;&gt;""),AA72*O72,"")</f>
        <v/>
      </c>
      <c r="AC72" s="4" t="n"/>
      <c r="AD72" s="4" t="n"/>
      <c r="AE72" s="4" t="n"/>
      <c r="AF72" s="5">
        <f>IF(AC72="High",5,IF(AC72="Medium",3,1))+IF(P72="High",3,IF(P72="Medium",2,1))+IF(M72&gt;0,2,0)</f>
        <v/>
      </c>
      <c r="AG72" s="5">
        <f>IF(AF72&gt;=8,"P1",IF(AF72&gt;=5,"P2","P3"))</f>
        <v/>
      </c>
      <c r="AH72" s="4" t="n"/>
      <c r="A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5">
        <f>IF(AND(G73&lt;&gt;"",Y73&lt;&gt;""),ROUND(H73*Y73,0),"")</f>
        <v/>
      </c>
      <c r="AA73" s="5">
        <f>IF(AND(G73&lt;&gt;"",Z73&lt;&gt;""),MAX(G73-Z73,0),"")</f>
        <v/>
      </c>
      <c r="AB73" s="5">
        <f>IF(AND(AA73&lt;&gt;"",O73&lt;&gt;""),AA73*O73,"")</f>
        <v/>
      </c>
      <c r="AC73" s="4" t="n"/>
      <c r="AD73" s="4" t="n"/>
      <c r="AE73" s="4" t="n"/>
      <c r="AF73" s="5">
        <f>IF(AC73="High",5,IF(AC73="Medium",3,1))+IF(P73="High",3,IF(P73="Medium",2,1))+IF(M73&gt;0,2,0)</f>
        <v/>
      </c>
      <c r="AG73" s="5">
        <f>IF(AF73&gt;=8,"P1",IF(AF73&gt;=5,"P2","P3"))</f>
        <v/>
      </c>
      <c r="AH73" s="4" t="n"/>
      <c r="A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5">
        <f>IF(AND(G74&lt;&gt;"",Y74&lt;&gt;""),ROUND(H74*Y74,0),"")</f>
        <v/>
      </c>
      <c r="AA74" s="5">
        <f>IF(AND(G74&lt;&gt;"",Z74&lt;&gt;""),MAX(G74-Z74,0),"")</f>
        <v/>
      </c>
      <c r="AB74" s="5">
        <f>IF(AND(AA74&lt;&gt;"",O74&lt;&gt;""),AA74*O74,"")</f>
        <v/>
      </c>
      <c r="AC74" s="4" t="n"/>
      <c r="AD74" s="4" t="n"/>
      <c r="AE74" s="4" t="n"/>
      <c r="AF74" s="5">
        <f>IF(AC74="High",5,IF(AC74="Medium",3,1))+IF(P74="High",3,IF(P74="Medium",2,1))+IF(M74&gt;0,2,0)</f>
        <v/>
      </c>
      <c r="AG74" s="5">
        <f>IF(AF74&gt;=8,"P1",IF(AF74&gt;=5,"P2","P3"))</f>
        <v/>
      </c>
      <c r="AH74" s="4" t="n"/>
      <c r="A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5">
        <f>IF(AND(G75&lt;&gt;"",Y75&lt;&gt;""),ROUND(H75*Y75,0),"")</f>
        <v/>
      </c>
      <c r="AA75" s="5">
        <f>IF(AND(G75&lt;&gt;"",Z75&lt;&gt;""),MAX(G75-Z75,0),"")</f>
        <v/>
      </c>
      <c r="AB75" s="5">
        <f>IF(AND(AA75&lt;&gt;"",O75&lt;&gt;""),AA75*O75,"")</f>
        <v/>
      </c>
      <c r="AC75" s="4" t="n"/>
      <c r="AD75" s="4" t="n"/>
      <c r="AE75" s="4" t="n"/>
      <c r="AF75" s="5">
        <f>IF(AC75="High",5,IF(AC75="Medium",3,1))+IF(P75="High",3,IF(P75="Medium",2,1))+IF(M75&gt;0,2,0)</f>
        <v/>
      </c>
      <c r="AG75" s="5">
        <f>IF(AF75&gt;=8,"P1",IF(AF75&gt;=5,"P2","P3"))</f>
        <v/>
      </c>
      <c r="AH75" s="4" t="n"/>
      <c r="A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5">
        <f>IF(AND(G76&lt;&gt;"",Y76&lt;&gt;""),ROUND(H76*Y76,0),"")</f>
        <v/>
      </c>
      <c r="AA76" s="5">
        <f>IF(AND(G76&lt;&gt;"",Z76&lt;&gt;""),MAX(G76-Z76,0),"")</f>
        <v/>
      </c>
      <c r="AB76" s="5">
        <f>IF(AND(AA76&lt;&gt;"",O76&lt;&gt;""),AA76*O76,"")</f>
        <v/>
      </c>
      <c r="AC76" s="4" t="n"/>
      <c r="AD76" s="4" t="n"/>
      <c r="AE76" s="4" t="n"/>
      <c r="AF76" s="5">
        <f>IF(AC76="High",5,IF(AC76="Medium",3,1))+IF(P76="High",3,IF(P76="Medium",2,1))+IF(M76&gt;0,2,0)</f>
        <v/>
      </c>
      <c r="AG76" s="5">
        <f>IF(AF76&gt;=8,"P1",IF(AF76&gt;=5,"P2","P3"))</f>
        <v/>
      </c>
      <c r="AH76" s="4" t="n"/>
      <c r="A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5">
        <f>IF(AND(G77&lt;&gt;"",Y77&lt;&gt;""),ROUND(H77*Y77,0),"")</f>
        <v/>
      </c>
      <c r="AA77" s="5">
        <f>IF(AND(G77&lt;&gt;"",Z77&lt;&gt;""),MAX(G77-Z77,0),"")</f>
        <v/>
      </c>
      <c r="AB77" s="5">
        <f>IF(AND(AA77&lt;&gt;"",O77&lt;&gt;""),AA77*O77,"")</f>
        <v/>
      </c>
      <c r="AC77" s="4" t="n"/>
      <c r="AD77" s="4" t="n"/>
      <c r="AE77" s="4" t="n"/>
      <c r="AF77" s="5">
        <f>IF(AC77="High",5,IF(AC77="Medium",3,1))+IF(P77="High",3,IF(P77="Medium",2,1))+IF(M77&gt;0,2,0)</f>
        <v/>
      </c>
      <c r="AG77" s="5">
        <f>IF(AF77&gt;=8,"P1",IF(AF77&gt;=5,"P2","P3"))</f>
        <v/>
      </c>
      <c r="AH77" s="4" t="n"/>
      <c r="A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5">
        <f>IF(AND(G78&lt;&gt;"",Y78&lt;&gt;""),ROUND(H78*Y78,0),"")</f>
        <v/>
      </c>
      <c r="AA78" s="5">
        <f>IF(AND(G78&lt;&gt;"",Z78&lt;&gt;""),MAX(G78-Z78,0),"")</f>
        <v/>
      </c>
      <c r="AB78" s="5">
        <f>IF(AND(AA78&lt;&gt;"",O78&lt;&gt;""),AA78*O78,"")</f>
        <v/>
      </c>
      <c r="AC78" s="4" t="n"/>
      <c r="AD78" s="4" t="n"/>
      <c r="AE78" s="4" t="n"/>
      <c r="AF78" s="5">
        <f>IF(AC78="High",5,IF(AC78="Medium",3,1))+IF(P78="High",3,IF(P78="Medium",2,1))+IF(M78&gt;0,2,0)</f>
        <v/>
      </c>
      <c r="AG78" s="5">
        <f>IF(AF78&gt;=8,"P1",IF(AF78&gt;=5,"P2","P3"))</f>
        <v/>
      </c>
      <c r="AH78" s="4" t="n"/>
      <c r="A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5">
        <f>IF(AND(G79&lt;&gt;"",Y79&lt;&gt;""),ROUND(H79*Y79,0),"")</f>
        <v/>
      </c>
      <c r="AA79" s="5">
        <f>IF(AND(G79&lt;&gt;"",Z79&lt;&gt;""),MAX(G79-Z79,0),"")</f>
        <v/>
      </c>
      <c r="AB79" s="5">
        <f>IF(AND(AA79&lt;&gt;"",O79&lt;&gt;""),AA79*O79,"")</f>
        <v/>
      </c>
      <c r="AC79" s="4" t="n"/>
      <c r="AD79" s="4" t="n"/>
      <c r="AE79" s="4" t="n"/>
      <c r="AF79" s="5">
        <f>IF(AC79="High",5,IF(AC79="Medium",3,1))+IF(P79="High",3,IF(P79="Medium",2,1))+IF(M79&gt;0,2,0)</f>
        <v/>
      </c>
      <c r="AG79" s="5">
        <f>IF(AF79&gt;=8,"P1",IF(AF79&gt;=5,"P2","P3"))</f>
        <v/>
      </c>
      <c r="AH79" s="4" t="n"/>
      <c r="A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5">
        <f>IF(AND(G80&lt;&gt;"",Y80&lt;&gt;""),ROUND(H80*Y80,0),"")</f>
        <v/>
      </c>
      <c r="AA80" s="5">
        <f>IF(AND(G80&lt;&gt;"",Z80&lt;&gt;""),MAX(G80-Z80,0),"")</f>
        <v/>
      </c>
      <c r="AB80" s="5">
        <f>IF(AND(AA80&lt;&gt;"",O80&lt;&gt;""),AA80*O80,"")</f>
        <v/>
      </c>
      <c r="AC80" s="4" t="n"/>
      <c r="AD80" s="4" t="n"/>
      <c r="AE80" s="4" t="n"/>
      <c r="AF80" s="5">
        <f>IF(AC80="High",5,IF(AC80="Medium",3,1))+IF(P80="High",3,IF(P80="Medium",2,1))+IF(M80&gt;0,2,0)</f>
        <v/>
      </c>
      <c r="AG80" s="5">
        <f>IF(AF80&gt;=8,"P1",IF(AF80&gt;=5,"P2","P3"))</f>
        <v/>
      </c>
      <c r="AH80" s="4" t="n"/>
      <c r="A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5">
        <f>IF(AND(G81&lt;&gt;"",Y81&lt;&gt;""),ROUND(H81*Y81,0),"")</f>
        <v/>
      </c>
      <c r="AA81" s="5">
        <f>IF(AND(G81&lt;&gt;"",Z81&lt;&gt;""),MAX(G81-Z81,0),"")</f>
        <v/>
      </c>
      <c r="AB81" s="5">
        <f>IF(AND(AA81&lt;&gt;"",O81&lt;&gt;""),AA81*O81,"")</f>
        <v/>
      </c>
      <c r="AC81" s="4" t="n"/>
      <c r="AD81" s="4" t="n"/>
      <c r="AE81" s="4" t="n"/>
      <c r="AF81" s="5">
        <f>IF(AC81="High",5,IF(AC81="Medium",3,1))+IF(P81="High",3,IF(P81="Medium",2,1))+IF(M81&gt;0,2,0)</f>
        <v/>
      </c>
      <c r="AG81" s="5">
        <f>IF(AF81&gt;=8,"P1",IF(AF81&gt;=5,"P2","P3"))</f>
        <v/>
      </c>
      <c r="AH81" s="4" t="n"/>
      <c r="A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5">
        <f>IF(AND(G82&lt;&gt;"",Y82&lt;&gt;""),ROUND(H82*Y82,0),"")</f>
        <v/>
      </c>
      <c r="AA82" s="5">
        <f>IF(AND(G82&lt;&gt;"",Z82&lt;&gt;""),MAX(G82-Z82,0),"")</f>
        <v/>
      </c>
      <c r="AB82" s="5">
        <f>IF(AND(AA82&lt;&gt;"",O82&lt;&gt;""),AA82*O82,"")</f>
        <v/>
      </c>
      <c r="AC82" s="4" t="n"/>
      <c r="AD82" s="4" t="n"/>
      <c r="AE82" s="4" t="n"/>
      <c r="AF82" s="5">
        <f>IF(AC82="High",5,IF(AC82="Medium",3,1))+IF(P82="High",3,IF(P82="Medium",2,1))+IF(M82&gt;0,2,0)</f>
        <v/>
      </c>
      <c r="AG82" s="5">
        <f>IF(AF82&gt;=8,"P1",IF(AF82&gt;=5,"P2","P3"))</f>
        <v/>
      </c>
      <c r="AH82" s="4" t="n"/>
      <c r="A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5">
        <f>IF(AND(G83&lt;&gt;"",Y83&lt;&gt;""),ROUND(H83*Y83,0),"")</f>
        <v/>
      </c>
      <c r="AA83" s="5">
        <f>IF(AND(G83&lt;&gt;"",Z83&lt;&gt;""),MAX(G83-Z83,0),"")</f>
        <v/>
      </c>
      <c r="AB83" s="5">
        <f>IF(AND(AA83&lt;&gt;"",O83&lt;&gt;""),AA83*O83,"")</f>
        <v/>
      </c>
      <c r="AC83" s="4" t="n"/>
      <c r="AD83" s="4" t="n"/>
      <c r="AE83" s="4" t="n"/>
      <c r="AF83" s="5">
        <f>IF(AC83="High",5,IF(AC83="Medium",3,1))+IF(P83="High",3,IF(P83="Medium",2,1))+IF(M83&gt;0,2,0)</f>
        <v/>
      </c>
      <c r="AG83" s="5">
        <f>IF(AF83&gt;=8,"P1",IF(AF83&gt;=5,"P2","P3"))</f>
        <v/>
      </c>
      <c r="AH83" s="4" t="n"/>
      <c r="A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5">
        <f>IF(AND(G84&lt;&gt;"",Y84&lt;&gt;""),ROUND(H84*Y84,0),"")</f>
        <v/>
      </c>
      <c r="AA84" s="5">
        <f>IF(AND(G84&lt;&gt;"",Z84&lt;&gt;""),MAX(G84-Z84,0),"")</f>
        <v/>
      </c>
      <c r="AB84" s="5">
        <f>IF(AND(AA84&lt;&gt;"",O84&lt;&gt;""),AA84*O84,"")</f>
        <v/>
      </c>
      <c r="AC84" s="4" t="n"/>
      <c r="AD84" s="4" t="n"/>
      <c r="AE84" s="4" t="n"/>
      <c r="AF84" s="5">
        <f>IF(AC84="High",5,IF(AC84="Medium",3,1))+IF(P84="High",3,IF(P84="Medium",2,1))+IF(M84&gt;0,2,0)</f>
        <v/>
      </c>
      <c r="AG84" s="5">
        <f>IF(AF84&gt;=8,"P1",IF(AF84&gt;=5,"P2","P3"))</f>
        <v/>
      </c>
      <c r="AH84" s="4" t="n"/>
      <c r="A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5">
        <f>IF(AND(G85&lt;&gt;"",Y85&lt;&gt;""),ROUND(H85*Y85,0),"")</f>
        <v/>
      </c>
      <c r="AA85" s="5">
        <f>IF(AND(G85&lt;&gt;"",Z85&lt;&gt;""),MAX(G85-Z85,0),"")</f>
        <v/>
      </c>
      <c r="AB85" s="5">
        <f>IF(AND(AA85&lt;&gt;"",O85&lt;&gt;""),AA85*O85,"")</f>
        <v/>
      </c>
      <c r="AC85" s="4" t="n"/>
      <c r="AD85" s="4" t="n"/>
      <c r="AE85" s="4" t="n"/>
      <c r="AF85" s="5">
        <f>IF(AC85="High",5,IF(AC85="Medium",3,1))+IF(P85="High",3,IF(P85="Medium",2,1))+IF(M85&gt;0,2,0)</f>
        <v/>
      </c>
      <c r="AG85" s="5">
        <f>IF(AF85&gt;=8,"P1",IF(AF85&gt;=5,"P2","P3"))</f>
        <v/>
      </c>
      <c r="AH85" s="4" t="n"/>
      <c r="A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5">
        <f>IF(AND(G86&lt;&gt;"",Y86&lt;&gt;""),ROUND(H86*Y86,0),"")</f>
        <v/>
      </c>
      <c r="AA86" s="5">
        <f>IF(AND(G86&lt;&gt;"",Z86&lt;&gt;""),MAX(G86-Z86,0),"")</f>
        <v/>
      </c>
      <c r="AB86" s="5">
        <f>IF(AND(AA86&lt;&gt;"",O86&lt;&gt;""),AA86*O86,"")</f>
        <v/>
      </c>
      <c r="AC86" s="4" t="n"/>
      <c r="AD86" s="4" t="n"/>
      <c r="AE86" s="4" t="n"/>
      <c r="AF86" s="5">
        <f>IF(AC86="High",5,IF(AC86="Medium",3,1))+IF(P86="High",3,IF(P86="Medium",2,1))+IF(M86&gt;0,2,0)</f>
        <v/>
      </c>
      <c r="AG86" s="5">
        <f>IF(AF86&gt;=8,"P1",IF(AF86&gt;=5,"P2","P3"))</f>
        <v/>
      </c>
      <c r="AH86" s="4" t="n"/>
      <c r="A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5">
        <f>IF(AND(G87&lt;&gt;"",Y87&lt;&gt;""),ROUND(H87*Y87,0),"")</f>
        <v/>
      </c>
      <c r="AA87" s="5">
        <f>IF(AND(G87&lt;&gt;"",Z87&lt;&gt;""),MAX(G87-Z87,0),"")</f>
        <v/>
      </c>
      <c r="AB87" s="5">
        <f>IF(AND(AA87&lt;&gt;"",O87&lt;&gt;""),AA87*O87,"")</f>
        <v/>
      </c>
      <c r="AC87" s="4" t="n"/>
      <c r="AD87" s="4" t="n"/>
      <c r="AE87" s="4" t="n"/>
      <c r="AF87" s="5">
        <f>IF(AC87="High",5,IF(AC87="Medium",3,1))+IF(P87="High",3,IF(P87="Medium",2,1))+IF(M87&gt;0,2,0)</f>
        <v/>
      </c>
      <c r="AG87" s="5">
        <f>IF(AF87&gt;=8,"P1",IF(AF87&gt;=5,"P2","P3"))</f>
        <v/>
      </c>
      <c r="AH87" s="4" t="n"/>
      <c r="A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5">
        <f>IF(AND(G88&lt;&gt;"",Y88&lt;&gt;""),ROUND(H88*Y88,0),"")</f>
        <v/>
      </c>
      <c r="AA88" s="5">
        <f>IF(AND(G88&lt;&gt;"",Z88&lt;&gt;""),MAX(G88-Z88,0),"")</f>
        <v/>
      </c>
      <c r="AB88" s="5">
        <f>IF(AND(AA88&lt;&gt;"",O88&lt;&gt;""),AA88*O88,"")</f>
        <v/>
      </c>
      <c r="AC88" s="4" t="n"/>
      <c r="AD88" s="4" t="n"/>
      <c r="AE88" s="4" t="n"/>
      <c r="AF88" s="5">
        <f>IF(AC88="High",5,IF(AC88="Medium",3,1))+IF(P88="High",3,IF(P88="Medium",2,1))+IF(M88&gt;0,2,0)</f>
        <v/>
      </c>
      <c r="AG88" s="5">
        <f>IF(AF88&gt;=8,"P1",IF(AF88&gt;=5,"P2","P3"))</f>
        <v/>
      </c>
      <c r="AH88" s="4" t="n"/>
      <c r="A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5">
        <f>IF(AND(G89&lt;&gt;"",Y89&lt;&gt;""),ROUND(H89*Y89,0),"")</f>
        <v/>
      </c>
      <c r="AA89" s="5">
        <f>IF(AND(G89&lt;&gt;"",Z89&lt;&gt;""),MAX(G89-Z89,0),"")</f>
        <v/>
      </c>
      <c r="AB89" s="5">
        <f>IF(AND(AA89&lt;&gt;"",O89&lt;&gt;""),AA89*O89,"")</f>
        <v/>
      </c>
      <c r="AC89" s="4" t="n"/>
      <c r="AD89" s="4" t="n"/>
      <c r="AE89" s="4" t="n"/>
      <c r="AF89" s="5">
        <f>IF(AC89="High",5,IF(AC89="Medium",3,1))+IF(P89="High",3,IF(P89="Medium",2,1))+IF(M89&gt;0,2,0)</f>
        <v/>
      </c>
      <c r="AG89" s="5">
        <f>IF(AF89&gt;=8,"P1",IF(AF89&gt;=5,"P2","P3"))</f>
        <v/>
      </c>
      <c r="AH89" s="4" t="n"/>
      <c r="A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5">
        <f>IF(AND(G90&lt;&gt;"",Y90&lt;&gt;""),ROUND(H90*Y90,0),"")</f>
        <v/>
      </c>
      <c r="AA90" s="5">
        <f>IF(AND(G90&lt;&gt;"",Z90&lt;&gt;""),MAX(G90-Z90,0),"")</f>
        <v/>
      </c>
      <c r="AB90" s="5">
        <f>IF(AND(AA90&lt;&gt;"",O90&lt;&gt;""),AA90*O90,"")</f>
        <v/>
      </c>
      <c r="AC90" s="4" t="n"/>
      <c r="AD90" s="4" t="n"/>
      <c r="AE90" s="4" t="n"/>
      <c r="AF90" s="5">
        <f>IF(AC90="High",5,IF(AC90="Medium",3,1))+IF(P90="High",3,IF(P90="Medium",2,1))+IF(M90&gt;0,2,0)</f>
        <v/>
      </c>
      <c r="AG90" s="5">
        <f>IF(AF90&gt;=8,"P1",IF(AF90&gt;=5,"P2","P3"))</f>
        <v/>
      </c>
      <c r="AH90" s="4" t="n"/>
      <c r="A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5">
        <f>IF(AND(G91&lt;&gt;"",Y91&lt;&gt;""),ROUND(H91*Y91,0),"")</f>
        <v/>
      </c>
      <c r="AA91" s="5">
        <f>IF(AND(G91&lt;&gt;"",Z91&lt;&gt;""),MAX(G91-Z91,0),"")</f>
        <v/>
      </c>
      <c r="AB91" s="5">
        <f>IF(AND(AA91&lt;&gt;"",O91&lt;&gt;""),AA91*O91,"")</f>
        <v/>
      </c>
      <c r="AC91" s="4" t="n"/>
      <c r="AD91" s="4" t="n"/>
      <c r="AE91" s="4" t="n"/>
      <c r="AF91" s="5">
        <f>IF(AC91="High",5,IF(AC91="Medium",3,1))+IF(P91="High",3,IF(P91="Medium",2,1))+IF(M91&gt;0,2,0)</f>
        <v/>
      </c>
      <c r="AG91" s="5">
        <f>IF(AF91&gt;=8,"P1",IF(AF91&gt;=5,"P2","P3"))</f>
        <v/>
      </c>
      <c r="AH91" s="4" t="n"/>
      <c r="A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5">
        <f>IF(AND(G92&lt;&gt;"",Y92&lt;&gt;""),ROUND(H92*Y92,0),"")</f>
        <v/>
      </c>
      <c r="AA92" s="5">
        <f>IF(AND(G92&lt;&gt;"",Z92&lt;&gt;""),MAX(G92-Z92,0),"")</f>
        <v/>
      </c>
      <c r="AB92" s="5">
        <f>IF(AND(AA92&lt;&gt;"",O92&lt;&gt;""),AA92*O92,"")</f>
        <v/>
      </c>
      <c r="AC92" s="4" t="n"/>
      <c r="AD92" s="4" t="n"/>
      <c r="AE92" s="4" t="n"/>
      <c r="AF92" s="5">
        <f>IF(AC92="High",5,IF(AC92="Medium",3,1))+IF(P92="High",3,IF(P92="Medium",2,1))+IF(M92&gt;0,2,0)</f>
        <v/>
      </c>
      <c r="AG92" s="5">
        <f>IF(AF92&gt;=8,"P1",IF(AF92&gt;=5,"P2","P3"))</f>
        <v/>
      </c>
      <c r="AH92" s="4" t="n"/>
      <c r="A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5">
        <f>IF(AND(G93&lt;&gt;"",Y93&lt;&gt;""),ROUND(H93*Y93,0),"")</f>
        <v/>
      </c>
      <c r="AA93" s="5">
        <f>IF(AND(G93&lt;&gt;"",Z93&lt;&gt;""),MAX(G93-Z93,0),"")</f>
        <v/>
      </c>
      <c r="AB93" s="5">
        <f>IF(AND(AA93&lt;&gt;"",O93&lt;&gt;""),AA93*O93,"")</f>
        <v/>
      </c>
      <c r="AC93" s="4" t="n"/>
      <c r="AD93" s="4" t="n"/>
      <c r="AE93" s="4" t="n"/>
      <c r="AF93" s="5">
        <f>IF(AC93="High",5,IF(AC93="Medium",3,1))+IF(P93="High",3,IF(P93="Medium",2,1))+IF(M93&gt;0,2,0)</f>
        <v/>
      </c>
      <c r="AG93" s="5">
        <f>IF(AF93&gt;=8,"P1",IF(AF93&gt;=5,"P2","P3"))</f>
        <v/>
      </c>
      <c r="AH93" s="4" t="n"/>
      <c r="A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5">
        <f>IF(AND(G94&lt;&gt;"",Y94&lt;&gt;""),ROUND(H94*Y94,0),"")</f>
        <v/>
      </c>
      <c r="AA94" s="5">
        <f>IF(AND(G94&lt;&gt;"",Z94&lt;&gt;""),MAX(G94-Z94,0),"")</f>
        <v/>
      </c>
      <c r="AB94" s="5">
        <f>IF(AND(AA94&lt;&gt;"",O94&lt;&gt;""),AA94*O94,"")</f>
        <v/>
      </c>
      <c r="AC94" s="4" t="n"/>
      <c r="AD94" s="4" t="n"/>
      <c r="AE94" s="4" t="n"/>
      <c r="AF94" s="5">
        <f>IF(AC94="High",5,IF(AC94="Medium",3,1))+IF(P94="High",3,IF(P94="Medium",2,1))+IF(M94&gt;0,2,0)</f>
        <v/>
      </c>
      <c r="AG94" s="5">
        <f>IF(AF94&gt;=8,"P1",IF(AF94&gt;=5,"P2","P3"))</f>
        <v/>
      </c>
      <c r="AH94" s="4" t="n"/>
      <c r="A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5">
        <f>IF(AND(G95&lt;&gt;"",Y95&lt;&gt;""),ROUND(H95*Y95,0),"")</f>
        <v/>
      </c>
      <c r="AA95" s="5">
        <f>IF(AND(G95&lt;&gt;"",Z95&lt;&gt;""),MAX(G95-Z95,0),"")</f>
        <v/>
      </c>
      <c r="AB95" s="5">
        <f>IF(AND(AA95&lt;&gt;"",O95&lt;&gt;""),AA95*O95,"")</f>
        <v/>
      </c>
      <c r="AC95" s="4" t="n"/>
      <c r="AD95" s="4" t="n"/>
      <c r="AE95" s="4" t="n"/>
      <c r="AF95" s="5">
        <f>IF(AC95="High",5,IF(AC95="Medium",3,1))+IF(P95="High",3,IF(P95="Medium",2,1))+IF(M95&gt;0,2,0)</f>
        <v/>
      </c>
      <c r="AG95" s="5">
        <f>IF(AF95&gt;=8,"P1",IF(AF95&gt;=5,"P2","P3"))</f>
        <v/>
      </c>
      <c r="AH95" s="4" t="n"/>
      <c r="A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5">
        <f>IF(AND(G96&lt;&gt;"",Y96&lt;&gt;""),ROUND(H96*Y96,0),"")</f>
        <v/>
      </c>
      <c r="AA96" s="5">
        <f>IF(AND(G96&lt;&gt;"",Z96&lt;&gt;""),MAX(G96-Z96,0),"")</f>
        <v/>
      </c>
      <c r="AB96" s="5">
        <f>IF(AND(AA96&lt;&gt;"",O96&lt;&gt;""),AA96*O96,"")</f>
        <v/>
      </c>
      <c r="AC96" s="4" t="n"/>
      <c r="AD96" s="4" t="n"/>
      <c r="AE96" s="4" t="n"/>
      <c r="AF96" s="5">
        <f>IF(AC96="High",5,IF(AC96="Medium",3,1))+IF(P96="High",3,IF(P96="Medium",2,1))+IF(M96&gt;0,2,0)</f>
        <v/>
      </c>
      <c r="AG96" s="5">
        <f>IF(AF96&gt;=8,"P1",IF(AF96&gt;=5,"P2","P3"))</f>
        <v/>
      </c>
      <c r="AH96" s="4" t="n"/>
      <c r="A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5">
        <f>IF(AND(G97&lt;&gt;"",Y97&lt;&gt;""),ROUND(H97*Y97,0),"")</f>
        <v/>
      </c>
      <c r="AA97" s="5">
        <f>IF(AND(G97&lt;&gt;"",Z97&lt;&gt;""),MAX(G97-Z97,0),"")</f>
        <v/>
      </c>
      <c r="AB97" s="5">
        <f>IF(AND(AA97&lt;&gt;"",O97&lt;&gt;""),AA97*O97,"")</f>
        <v/>
      </c>
      <c r="AC97" s="4" t="n"/>
      <c r="AD97" s="4" t="n"/>
      <c r="AE97" s="4" t="n"/>
      <c r="AF97" s="5">
        <f>IF(AC97="High",5,IF(AC97="Medium",3,1))+IF(P97="High",3,IF(P97="Medium",2,1))+IF(M97&gt;0,2,0)</f>
        <v/>
      </c>
      <c r="AG97" s="5">
        <f>IF(AF97&gt;=8,"P1",IF(AF97&gt;=5,"P2","P3"))</f>
        <v/>
      </c>
      <c r="AH97" s="4" t="n"/>
      <c r="A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5">
        <f>IF(AND(G98&lt;&gt;"",Y98&lt;&gt;""),ROUND(H98*Y98,0),"")</f>
        <v/>
      </c>
      <c r="AA98" s="5">
        <f>IF(AND(G98&lt;&gt;"",Z98&lt;&gt;""),MAX(G98-Z98,0),"")</f>
        <v/>
      </c>
      <c r="AB98" s="5">
        <f>IF(AND(AA98&lt;&gt;"",O98&lt;&gt;""),AA98*O98,"")</f>
        <v/>
      </c>
      <c r="AC98" s="4" t="n"/>
      <c r="AD98" s="4" t="n"/>
      <c r="AE98" s="4" t="n"/>
      <c r="AF98" s="5">
        <f>IF(AC98="High",5,IF(AC98="Medium",3,1))+IF(P98="High",3,IF(P98="Medium",2,1))+IF(M98&gt;0,2,0)</f>
        <v/>
      </c>
      <c r="AG98" s="5">
        <f>IF(AF98&gt;=8,"P1",IF(AF98&gt;=5,"P2","P3"))</f>
        <v/>
      </c>
      <c r="AH98" s="4" t="n"/>
      <c r="A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5">
        <f>IF(AND(G99&lt;&gt;"",Y99&lt;&gt;""),ROUND(H99*Y99,0),"")</f>
        <v/>
      </c>
      <c r="AA99" s="5">
        <f>IF(AND(G99&lt;&gt;"",Z99&lt;&gt;""),MAX(G99-Z99,0),"")</f>
        <v/>
      </c>
      <c r="AB99" s="5">
        <f>IF(AND(AA99&lt;&gt;"",O99&lt;&gt;""),AA99*O99,"")</f>
        <v/>
      </c>
      <c r="AC99" s="4" t="n"/>
      <c r="AD99" s="4" t="n"/>
      <c r="AE99" s="4" t="n"/>
      <c r="AF99" s="5">
        <f>IF(AC99="High",5,IF(AC99="Medium",3,1))+IF(P99="High",3,IF(P99="Medium",2,1))+IF(M99&gt;0,2,0)</f>
        <v/>
      </c>
      <c r="AG99" s="5">
        <f>IF(AF99&gt;=8,"P1",IF(AF99&gt;=5,"P2","P3"))</f>
        <v/>
      </c>
      <c r="AH99" s="4" t="n"/>
      <c r="A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5">
        <f>IF(AND(G100&lt;&gt;"",Y100&lt;&gt;""),ROUND(H100*Y100,0),"")</f>
        <v/>
      </c>
      <c r="AA100" s="5">
        <f>IF(AND(G100&lt;&gt;"",Z100&lt;&gt;""),MAX(G100-Z100,0),"")</f>
        <v/>
      </c>
      <c r="AB100" s="5">
        <f>IF(AND(AA100&lt;&gt;"",O100&lt;&gt;""),AA100*O100,"")</f>
        <v/>
      </c>
      <c r="AC100" s="4" t="n"/>
      <c r="AD100" s="4" t="n"/>
      <c r="AE100" s="4" t="n"/>
      <c r="AF100" s="5">
        <f>IF(AC100="High",5,IF(AC100="Medium",3,1))+IF(P100="High",3,IF(P100="Medium",2,1))+IF(M100&gt;0,2,0)</f>
        <v/>
      </c>
      <c r="AG100" s="5">
        <f>IF(AF100&gt;=8,"P1",IF(AF100&gt;=5,"P2","P3"))</f>
        <v/>
      </c>
      <c r="AH100" s="4" t="n"/>
      <c r="A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5">
        <f>IF(AND(G101&lt;&gt;"",Y101&lt;&gt;""),ROUND(H101*Y101,0),"")</f>
        <v/>
      </c>
      <c r="AA101" s="5">
        <f>IF(AND(G101&lt;&gt;"",Z101&lt;&gt;""),MAX(G101-Z101,0),"")</f>
        <v/>
      </c>
      <c r="AB101" s="5">
        <f>IF(AND(AA101&lt;&gt;"",O101&lt;&gt;""),AA101*O101,"")</f>
        <v/>
      </c>
      <c r="AC101" s="4" t="n"/>
      <c r="AD101" s="4" t="n"/>
      <c r="AE101" s="4" t="n"/>
      <c r="AF101" s="5">
        <f>IF(AC101="High",5,IF(AC101="Medium",3,1))+IF(P101="High",3,IF(P101="Medium",2,1))+IF(M101&gt;0,2,0)</f>
        <v/>
      </c>
      <c r="AG101" s="5">
        <f>IF(AF101&gt;=8,"P1",IF(AF101&gt;=5,"P2","P3"))</f>
        <v/>
      </c>
      <c r="AH101" s="4" t="n"/>
      <c r="A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5">
        <f>IF(AND(G102&lt;&gt;"",Y102&lt;&gt;""),ROUND(H102*Y102,0),"")</f>
        <v/>
      </c>
      <c r="AA102" s="5">
        <f>IF(AND(G102&lt;&gt;"",Z102&lt;&gt;""),MAX(G102-Z102,0),"")</f>
        <v/>
      </c>
      <c r="AB102" s="5">
        <f>IF(AND(AA102&lt;&gt;"",O102&lt;&gt;""),AA102*O102,"")</f>
        <v/>
      </c>
      <c r="AC102" s="4" t="n"/>
      <c r="AD102" s="4" t="n"/>
      <c r="AE102" s="4" t="n"/>
      <c r="AF102" s="5">
        <f>IF(AC102="High",5,IF(AC102="Medium",3,1))+IF(P102="High",3,IF(P102="Medium",2,1))+IF(M102&gt;0,2,0)</f>
        <v/>
      </c>
      <c r="AG102" s="5">
        <f>IF(AF102&gt;=8,"P1",IF(AF102&gt;=5,"P2","P3"))</f>
        <v/>
      </c>
      <c r="AH102" s="4" t="n"/>
      <c r="A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5">
        <f>IF(AND(G103&lt;&gt;"",Y103&lt;&gt;""),ROUND(H103*Y103,0),"")</f>
        <v/>
      </c>
      <c r="AA103" s="5">
        <f>IF(AND(G103&lt;&gt;"",Z103&lt;&gt;""),MAX(G103-Z103,0),"")</f>
        <v/>
      </c>
      <c r="AB103" s="5">
        <f>IF(AND(AA103&lt;&gt;"",O103&lt;&gt;""),AA103*O103,"")</f>
        <v/>
      </c>
      <c r="AC103" s="4" t="n"/>
      <c r="AD103" s="4" t="n"/>
      <c r="AE103" s="4" t="n"/>
      <c r="AF103" s="5">
        <f>IF(AC103="High",5,IF(AC103="Medium",3,1))+IF(P103="High",3,IF(P103="Medium",2,1))+IF(M103&gt;0,2,0)</f>
        <v/>
      </c>
      <c r="AG103" s="5">
        <f>IF(AF103&gt;=8,"P1",IF(AF103&gt;=5,"P2","P3"))</f>
        <v/>
      </c>
      <c r="AH103" s="4" t="n"/>
      <c r="AI103" s="4" t="n"/>
    </row>
  </sheetData>
  <autoFilter ref="A3:AI103"/>
  <mergeCells count="2">
    <mergeCell ref="A1:AE1"/>
    <mergeCell ref="A2:AE2"/>
  </mergeCells>
  <dataValidations count="6">
    <dataValidation sqref="K4:K103" showDropDown="0" showInputMessage="0" showErrorMessage="0" allowBlank="1" type="list">
      <formula1>"진입 완료,임박,미진입,확인 필요"</formula1>
    </dataValidation>
    <dataValidation sqref="P4:P103" showDropDown="0" showInputMessage="0" showErrorMessage="0" allowBlank="1" type="list">
      <formula1>"High,Medium,Low,확인 필요"</formula1>
    </dataValidation>
    <dataValidation sqref="W4:W103" showDropDown="0" showInputMessage="0" showErrorMessage="0" allowBlank="1" type="list">
      <formula1>"Y,N,Hold"</formula1>
    </dataValidation>
    <dataValidation sqref="X4:X103" showDropDown="0" showInputMessage="0" showErrorMessage="0" allowBlank="1" type="list">
      <formula1>"45% adjustment,Base case,Exception/defense case,No impact,Custom"</formula1>
    </dataValidation>
    <dataValidation sqref="AC4:AC103" showDropDown="0" showInputMessage="0" showErrorMessage="0" allowBlank="1" type="list">
      <formula1>"High,Medium,Low,확인 필요"</formula1>
    </dataValidation>
    <dataValidation sqref="AE4:AE103" showDropDown="0" showInputMessage="0" showErrorMessage="0" allowBlank="1" type="list">
      <formula1>"Complete,Partial,Insufficient"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42" customWidth="1" min="4" max="4"/>
    <col width="48" customWidth="1" min="5" max="5"/>
  </cols>
  <sheetData>
    <row r="1">
      <c r="A1" s="6" t="inlineStr">
        <is>
          <t>Scenario</t>
        </is>
      </c>
      <c r="B1" s="6" t="inlineStr">
        <is>
          <t>Target ratio</t>
        </is>
      </c>
      <c r="C1" s="6" t="inlineStr">
        <is>
          <t>Use case</t>
        </is>
      </c>
      <c r="D1" s="6" t="inlineStr">
        <is>
          <t>Formula note</t>
        </is>
      </c>
      <c r="E1" s="6" t="inlineStr">
        <is>
          <t>Caveat</t>
        </is>
      </c>
    </row>
    <row r="2">
      <c r="A2" s="7" t="inlineStr">
        <is>
          <t>Worst case 45%</t>
        </is>
      </c>
      <c r="B2" s="7" t="n">
        <v>0.45</v>
      </c>
      <c r="C2" s="7" t="inlineStr">
        <is>
          <t>기준가격 대비 45% 일괄 조정 가정</t>
        </is>
      </c>
      <c r="D2" s="7" t="inlineStr">
        <is>
          <t>scenario price = reference price × 0.45</t>
        </is>
      </c>
      <c r="E2" s="7" t="inlineStr">
        <is>
          <t>최종 정부안 아님; 제품별 예외 가능</t>
        </is>
      </c>
    </row>
    <row r="3">
      <c r="A3" s="7" t="inlineStr">
        <is>
          <t>Base case 53.55→45 delta</t>
        </is>
      </c>
      <c r="B3" s="7" t="n">
        <v>0.45</v>
      </c>
      <c r="C3" s="7" t="inlineStr">
        <is>
          <t>현행 53.55% 대비 45% 조정의 방향성 확인</t>
        </is>
      </c>
      <c r="D3" s="7" t="inlineStr">
        <is>
          <t>requires verified reference price and current price</t>
        </is>
      </c>
      <c r="E3" s="7" t="inlineStr">
        <is>
          <t>현재가가 이미 낮으면 delta 작거나 0 가능</t>
        </is>
      </c>
    </row>
    <row r="4">
      <c r="A4" s="7" t="inlineStr">
        <is>
          <t>Exception/defense case</t>
        </is>
      </c>
      <c r="B4" s="7" t="inlineStr">
        <is>
          <t>Custom</t>
        </is>
      </c>
      <c r="C4" s="7" t="inlineStr">
        <is>
          <t>누적 인하/예외대상 반영</t>
        </is>
      </c>
      <c r="D4" s="7" t="inlineStr">
        <is>
          <t>analyst-defined scenario ratio or no impact</t>
        </is>
      </c>
      <c r="E4" s="7" t="inlineStr">
        <is>
          <t>근거 문서 필요</t>
        </is>
      </c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4" customWidth="1" min="4" max="4"/>
    <col width="32" customWidth="1" min="5" max="5"/>
    <col width="52" customWidth="1" min="6" max="6"/>
    <col width="32" customWidth="1" min="7" max="7"/>
    <col width="16" customWidth="1" min="8" max="8"/>
    <col width="24" customWidth="1" min="9" max="9"/>
    <col width="32" customWidth="1" min="10" max="10"/>
  </cols>
  <sheetData>
    <row r="1">
      <c r="A1" s="6" t="inlineStr">
        <is>
          <t>Evidence ID</t>
        </is>
      </c>
      <c r="B1" s="6" t="inlineStr">
        <is>
          <t>Product/Topic</t>
        </is>
      </c>
      <c r="C1" s="6" t="inlineStr">
        <is>
          <t>Source type</t>
        </is>
      </c>
      <c r="D1" s="6" t="inlineStr">
        <is>
          <t>Source date</t>
        </is>
      </c>
      <c r="E1" s="6" t="inlineStr">
        <is>
          <t>Document/email title</t>
        </is>
      </c>
      <c r="F1" s="6" t="inlineStr">
        <is>
          <t>Exact quote or data point</t>
        </is>
      </c>
      <c r="G1" s="6" t="inlineStr">
        <is>
          <t>Implication</t>
        </is>
      </c>
      <c r="H1" s="6" t="inlineStr">
        <is>
          <t>Supports defense?</t>
        </is>
      </c>
      <c r="I1" s="6" t="inlineStr">
        <is>
          <t>File/document id</t>
        </is>
      </c>
      <c r="J1" s="6" t="inlineStr">
        <is>
          <t>Reviewer note</t>
        </is>
      </c>
    </row>
    <row r="2">
      <c r="A2" s="7" t="inlineStr">
        <is>
          <t>EV-001</t>
        </is>
      </c>
      <c r="B2" s="7" t="inlineStr">
        <is>
          <t>기등재 약제 재평가·약가조정</t>
        </is>
      </c>
      <c r="C2" s="7" t="inlineStr">
        <is>
          <t>KRPIA 의견서</t>
        </is>
      </c>
      <c r="D2" s="7" t="inlineStr">
        <is>
          <t>2026-06-15</t>
        </is>
      </c>
      <c r="E2" s="7" t="inlineStr">
        <is>
          <t>KRPIA 기등재 약가조정 관련 의견</t>
        </is>
      </c>
      <c r="F2" s="7" t="inlineStr">
        <is>
          <t>2012년 이후 누적 인하 및 중복 인하 우려 관련 문구 입력</t>
        </is>
      </c>
      <c r="G2" s="7" t="inlineStr">
        <is>
          <t>Double-penalty defense</t>
        </is>
      </c>
      <c r="H2" s="7" t="inlineStr">
        <is>
          <t>Y</t>
        </is>
      </c>
      <c r="I2" s="7" t="inlineStr"/>
      <c r="J2" s="7" t="inlineStr">
        <is>
          <t>원문 quote로 교체 필요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60" customWidth="1" min="3" max="3"/>
  </cols>
  <sheetData>
    <row r="1">
      <c r="A1" s="8" t="inlineStr">
        <is>
          <t>Metric</t>
        </is>
      </c>
      <c r="B1" s="8" t="inlineStr">
        <is>
          <t>Formula / value</t>
        </is>
      </c>
      <c r="C1" s="8" t="inlineStr">
        <is>
          <t>Interpretation</t>
        </is>
      </c>
    </row>
    <row r="2">
      <c r="A2" s="7" t="inlineStr">
        <is>
          <t>Total products in scope</t>
        </is>
      </c>
      <c r="B2" s="7">
        <f>COUNTA(01_Product_Input!B4:B103)</f>
        <v/>
      </c>
      <c r="C2" s="7" t="inlineStr">
        <is>
          <t>제품명 입력 기준</t>
        </is>
      </c>
    </row>
    <row r="3">
      <c r="A3" s="7" t="inlineStr">
        <is>
          <t>Products included in scenario</t>
        </is>
      </c>
      <c r="B3" s="7">
        <f>COUNTIF(01_Product_Input!W4:W103,"Y")</f>
        <v/>
      </c>
      <c r="C3" s="7" t="inlineStr">
        <is>
          <t>시나리오 포함 제품 수</t>
        </is>
      </c>
    </row>
    <row r="4">
      <c r="A4" s="7" t="inlineStr">
        <is>
          <t>P1 products</t>
        </is>
      </c>
      <c r="B4" s="7">
        <f>COUNTIF(01_Product_Input!AG4:AG103,"P1")</f>
        <v/>
      </c>
      <c r="C4" s="7" t="inlineStr">
        <is>
          <t>즉시 검토 우선순위</t>
        </is>
      </c>
    </row>
    <row r="5">
      <c r="A5" s="7" t="inlineStr">
        <is>
          <t>Gross exposure KRW</t>
        </is>
      </c>
      <c r="B5" s="7">
        <f>SUM(01_Product_Input!AB4:AB103)</f>
        <v/>
      </c>
      <c r="C5" s="7" t="inlineStr">
        <is>
          <t>단순 총액; net impact 아님</t>
        </is>
      </c>
    </row>
    <row r="6">
      <c r="A6" s="7" t="inlineStr">
        <is>
          <t>High double-penalty evidence</t>
        </is>
      </c>
      <c r="B6" s="7">
        <f>COUNTIF(01_Product_Input!AC4:AC103,"High")</f>
        <v/>
      </c>
      <c r="C6" s="7" t="inlineStr">
        <is>
          <t>방어 논리 강한 제품 수</t>
        </is>
      </c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9" t="inlineStr">
        <is>
          <t>Purpose</t>
        </is>
      </c>
      <c r="B1" s="7" t="inlineStr">
        <is>
          <t>MSD 내부 품목 데이터를 입력하여 KRPIA 기등재 약제 재평가·특허만료 오리지널 약가조정 이슈의 정량/정성 impact assessment를 준비한다.</t>
        </is>
      </c>
    </row>
    <row r="2">
      <c r="A2" s="9" t="inlineStr">
        <is>
          <t>Privacy</t>
        </is>
      </c>
      <c r="B2" s="7" t="inlineStr">
        <is>
          <t>이 파일은 private policy_intelligence storage에 보존한다. 내부 가격/매출/계약 정보 입력 후 Git commit 금지.</t>
        </is>
      </c>
    </row>
    <row r="3">
      <c r="A3" s="9" t="inlineStr">
        <is>
          <t>How to use</t>
        </is>
      </c>
      <c r="B3" s="7" t="inlineStr">
        <is>
          <t>01_Product_Input 노란색 입력칸을 채우고, 03_Evidence_Log에 KRPIA/정부 문서 quote와 제품별 근거를 남긴다.</t>
        </is>
      </c>
    </row>
    <row r="4">
      <c r="A4" s="9" t="inlineStr">
        <is>
          <t>Limitations</t>
        </is>
      </c>
      <c r="B4" s="7" t="inlineStr">
        <is>
          <t>정부 최종안 확정 전 시나리오 도구이며, 실제 net impact는 계약/RSA/실거래가/채널별 조건 검증 필요.</t>
        </is>
      </c>
    </row>
    <row r="5">
      <c r="A5" s="9" t="n"/>
      <c r="B5" s="7" t="n"/>
    </row>
    <row r="6">
      <c r="A6" s="9" t="n"/>
      <c r="B6" s="7" t="n"/>
    </row>
    <row r="7">
      <c r="A7" s="9" t="n"/>
      <c r="B7" s="7" t="n"/>
    </row>
    <row r="8">
      <c r="A8" s="9" t="n"/>
      <c r="B8" s="7" t="n"/>
    </row>
    <row r="9">
      <c r="A9" s="9" t="n"/>
      <c r="B9" s="7" t="n"/>
    </row>
    <row r="10">
      <c r="A10" s="9" t="n"/>
      <c r="B10" s="7" t="n"/>
    </row>
    <row r="11">
      <c r="A11" s="9" t="n"/>
      <c r="B11" s="7" t="n"/>
    </row>
    <row r="12">
      <c r="A12" s="9" t="n"/>
      <c r="B12" s="7" t="n"/>
    </row>
    <row r="13">
      <c r="A13" s="9" t="n"/>
      <c r="B13" s="7" t="n"/>
    </row>
    <row r="14">
      <c r="A14" s="9" t="n"/>
      <c r="B14" s="7" t="n"/>
    </row>
    <row r="15">
      <c r="A15" s="9" t="n"/>
      <c r="B15" s="7" t="n"/>
    </row>
    <row r="16">
      <c r="A16" s="9" t="n"/>
      <c r="B16" s="7" t="n"/>
    </row>
    <row r="17">
      <c r="A17" s="9" t="n"/>
      <c r="B17" s="7" t="n"/>
    </row>
    <row r="18">
      <c r="A18" s="9" t="n"/>
      <c r="B18" s="7" t="n"/>
    </row>
    <row r="19">
      <c r="A19" s="9" t="n"/>
      <c r="B19" s="7" t="n"/>
    </row>
    <row r="20">
      <c r="A20" s="9" t="n"/>
      <c r="B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2026-07-02T01:54:00Z</dcterms:created>
  <dcterms:modified xmlns:dcterms="http://purl.org/dc/terms/" xmlns:xsi="http://www.w3.org/2001/XMLSchema-instance" xsi:type="dcterms:W3CDTF">2026-07-02T01:54:01Z</dcterms:modified>
</cp:coreProperties>
</file>