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aboration.merck.com/sites/OMA/Shared Documents/Team C/제외국 약제평가_2025년 3월 개정/"/>
    </mc:Choice>
  </mc:AlternateContent>
  <xr:revisionPtr revIDLastSave="444" documentId="8_{37A95CF5-3BAA-4E43-A765-17C796EA1F22}" xr6:coauthVersionLast="47" xr6:coauthVersionMax="47" xr10:uidLastSave="{A74CCCB2-7C9A-4CEB-8451-30ECF4C25F6A}"/>
  <bookViews>
    <workbookView xWindow="-120" yWindow="-120" windowWidth="29040" windowHeight="17520" xr2:uid="{06716B31-0011-4FC6-9F4F-F1CD9AE1F699}"/>
  </bookViews>
  <sheets>
    <sheet name="Cost_drug" sheetId="6" r:id="rId1"/>
  </sheets>
  <externalReferences>
    <externalReference r:id="rId2"/>
  </externalReferences>
  <definedNames>
    <definedName name="title">'[1]Central Control'!$C$9</definedName>
    <definedName name="Tx_1">'[1]Central Control'!$C$95</definedName>
    <definedName name="Tx_1a">'[1]Central Control'!$C$95</definedName>
    <definedName name="Tx_2">'[1]Central Control'!$C$96</definedName>
    <definedName name="Tx_2a">'[1]Central Control'!$C$96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6" l="1"/>
  <c r="K21" i="6"/>
  <c r="G23" i="6"/>
  <c r="I23" i="6" s="1"/>
  <c r="J23" i="6" s="1"/>
  <c r="G21" i="6"/>
  <c r="I21" i="6" s="1"/>
  <c r="J21" i="6" s="1"/>
  <c r="F24" i="6"/>
  <c r="G24" i="6" s="1"/>
  <c r="F23" i="6"/>
  <c r="F21" i="6"/>
  <c r="M48" i="6"/>
  <c r="M47" i="6" s="1"/>
  <c r="M46" i="6" s="1"/>
  <c r="N46" i="6" s="1"/>
  <c r="K22" i="6"/>
  <c r="M49" i="6"/>
  <c r="H22" i="6"/>
  <c r="C27" i="6"/>
  <c r="E8" i="6"/>
  <c r="G20" i="6"/>
  <c r="I24" i="6" l="1"/>
  <c r="J24" i="6" s="1"/>
  <c r="K24" i="6"/>
  <c r="K20" i="6"/>
  <c r="I20" i="6"/>
  <c r="J20" i="6" s="1"/>
  <c r="F22" i="6"/>
  <c r="I22" i="6" l="1"/>
  <c r="J22" i="6" s="1"/>
  <c r="F18" i="6"/>
  <c r="F17" i="6"/>
  <c r="G17" i="6" s="1"/>
  <c r="I17" i="6" s="1"/>
  <c r="J17" i="6" s="1"/>
  <c r="K17" i="6" l="1"/>
  <c r="G18" i="6"/>
  <c r="G22" i="6"/>
  <c r="K18" i="6" l="1"/>
  <c r="I18" i="6"/>
  <c r="J18" i="6" s="1"/>
  <c r="E19" i="6"/>
  <c r="G19" i="6"/>
  <c r="K19" i="6" l="1"/>
  <c r="E10" i="6" s="1"/>
  <c r="I19" i="6"/>
  <c r="J1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tc={745DDBB3-BF65-40E9-AD30-DD1BD6AB850D}</author>
    <author>tc={176C7AF0-5069-4B63-AF7E-6FFC3F45D283}</author>
    <author>tc={C555F86C-A47E-42C9-8E58-8E57F3F2E9D1}</author>
  </authors>
  <commentList>
    <comment ref="J16" authorId="0" shapeId="0" xr:uid="{745DDBB3-BF65-40E9-AD30-DD1BD6AB85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고가약(내복외용제 475원, 주사제 4,750원 이상) 8.69% / 저가약 10.41%</t>
      </text>
    </comment>
    <comment ref="H21" authorId="1" shapeId="0" xr:uid="{176C7AF0-5069-4B63-AF7E-6FFC3F45D28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공적으로급여되나약가가확인되지않는경우, vidal약가x0.65 </t>
      </text>
    </comment>
    <comment ref="H24" authorId="2" shapeId="0" xr:uid="{C555F86C-A47E-42C9-8E58-8E57F3F2E9D1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적으로급여되나약가가확인되지않는경우, compendium약가x0.65 </t>
      </text>
    </comment>
  </commentList>
</comments>
</file>

<file path=xl/sharedStrings.xml><?xml version="1.0" encoding="utf-8"?>
<sst xmlns="http://schemas.openxmlformats.org/spreadsheetml/2006/main" count="48" uniqueCount="38">
  <si>
    <t>Costs</t>
    <phoneticPr fontId="8" type="noConversion"/>
  </si>
  <si>
    <t>KRW</t>
  </si>
  <si>
    <t>USA ($)</t>
  </si>
  <si>
    <t>40mg</t>
    <phoneticPr fontId="18" type="noConversion"/>
  </si>
  <si>
    <t>Local currency</t>
    <phoneticPr fontId="2" type="noConversion"/>
  </si>
  <si>
    <t>국가</t>
    <phoneticPr fontId="2" type="noConversion"/>
  </si>
  <si>
    <t>용량</t>
    <phoneticPr fontId="18" type="noConversion"/>
  </si>
  <si>
    <t>Canada(CAD$)</t>
    <phoneticPr fontId="19" type="noConversion"/>
  </si>
  <si>
    <t>A8 조정 최저가</t>
    <phoneticPr fontId="2" type="noConversion"/>
  </si>
  <si>
    <t>A8 adjusted price(KRW)</t>
    <phoneticPr fontId="2" type="noConversion"/>
  </si>
  <si>
    <t>A8 adjusted price</t>
    <phoneticPr fontId="2" type="noConversion"/>
  </si>
  <si>
    <t>KRW</t>
    <phoneticPr fontId="2" type="noConversion"/>
  </si>
  <si>
    <t>list price/tablet</t>
    <phoneticPr fontId="18" type="noConversion"/>
  </si>
  <si>
    <t>UK (￡)</t>
  </si>
  <si>
    <t>Japan (￥)</t>
  </si>
  <si>
    <r>
      <t>France (</t>
    </r>
    <r>
      <rPr>
        <sz val="10"/>
        <rFont val="Calibri"/>
        <family val="2"/>
        <scheme val="minor"/>
      </rPr>
      <t>€</t>
    </r>
    <r>
      <rPr>
        <sz val="10"/>
        <rFont val="Calibri"/>
        <family val="3"/>
        <charset val="129"/>
        <scheme val="minor"/>
      </rPr>
      <t>)</t>
    </r>
  </si>
  <si>
    <r>
      <t>Germany (</t>
    </r>
    <r>
      <rPr>
        <sz val="10"/>
        <rFont val="Calibri"/>
        <family val="2"/>
        <scheme val="minor"/>
      </rPr>
      <t>€</t>
    </r>
    <r>
      <rPr>
        <sz val="10"/>
        <rFont val="Calibri"/>
        <family val="3"/>
        <charset val="129"/>
        <scheme val="minor"/>
      </rPr>
      <t>)</t>
    </r>
    <phoneticPr fontId="18" type="noConversion"/>
  </si>
  <si>
    <r>
      <t>Italy (</t>
    </r>
    <r>
      <rPr>
        <sz val="10"/>
        <rFont val="Calibri"/>
        <family val="2"/>
        <scheme val="minor"/>
      </rPr>
      <t>€</t>
    </r>
    <r>
      <rPr>
        <sz val="10"/>
        <rFont val="Calibri"/>
        <family val="3"/>
        <charset val="129"/>
        <scheme val="minor"/>
      </rPr>
      <t>)</t>
    </r>
  </si>
  <si>
    <t>switzerland (℉)</t>
  </si>
  <si>
    <t>Cost_drug</t>
    <phoneticPr fontId="2" type="noConversion"/>
  </si>
  <si>
    <t>표시가</t>
  </si>
  <si>
    <t>환급률</t>
  </si>
  <si>
    <t>실제가</t>
  </si>
  <si>
    <t>외국약가 조정가격</t>
  </si>
  <si>
    <t>{[(각국 공장도 출하가1))×환율)]×(1+부가가치세율))}×(1+유통거래폭))</t>
  </si>
  <si>
    <t>부가가치세율</t>
  </si>
  <si>
    <t>유통거래폭</t>
  </si>
  <si>
    <t>국가 공장도 출하 비율</t>
  </si>
  <si>
    <t>2025.3월 기준</t>
  </si>
  <si>
    <t>평균 환율(2024-01-31~ 2026-01-31)</t>
  </si>
  <si>
    <t>외국 조정가격 산출 기준 및 방법</t>
  </si>
  <si>
    <t>공장도출하가</t>
  </si>
  <si>
    <t>약국구입가</t>
  </si>
  <si>
    <t>약국순판매가</t>
  </si>
  <si>
    <t>약국판매가</t>
  </si>
  <si>
    <t>환급률 적용후 최종</t>
  </si>
  <si>
    <t>패키징별 판매가</t>
  </si>
  <si>
    <t>최소단위별 판매가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</si>
</sst>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164" formatCode="_(* #,##0_);_(* \(#,##0\);_(* &quot;-&quot;_);_(@_)"/>
    <numFmt numFmtId="165" formatCode="&quot;₩&quot;#,##0_);[Red]\(&quot;₩&quot;#,##0\)"/>
    <numFmt numFmtId="166" formatCode="0_);[Red]\(0\)"/>
    <numFmt numFmtId="167" formatCode="_-* #,##0.00_-;\-* #,##0.00_-;_-* &quot;-&quot;_-;_-@_-"/>
    <numFmt numFmtId="168" formatCode="[$¥-411]#,##0.00;\-[$¥-411]#,##0.00"/>
    <numFmt numFmtId="169" formatCode="[$£-809]#,##0.00;\-[$£-809]#,##0.00"/>
    <numFmt numFmtId="170" formatCode="[$$-409]#,##0.00_ ;\-[$$-409]#,##0.00\ "/>
    <numFmt numFmtId="171" formatCode="[$€-2]\ #,##0.00_);\([$€-2]\ #,##0.00\)"/>
    <numFmt numFmtId="172" formatCode="[$€-2]\ #,##0.00"/>
  </numFmts>
  <fonts count="2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rgb="FF2F4C59"/>
      <name val="Arial Rounded MT Bold"/>
      <family val="2"/>
    </font>
    <font>
      <b/>
      <sz val="9"/>
      <color theme="0"/>
      <name val="Arial Rounded MT Bold"/>
      <family val="2"/>
    </font>
    <font>
      <sz val="8"/>
      <name val="Calibri"/>
      <family val="2"/>
      <scheme val="minor"/>
    </font>
    <font>
      <b/>
      <sz val="10"/>
      <color rgb="FF2F4C59"/>
      <name val="Arial Rounded MT Bold"/>
      <family val="2"/>
    </font>
    <font>
      <sz val="9"/>
      <color theme="1"/>
      <name val="Arial Rounded MT Bold"/>
      <family val="2"/>
    </font>
    <font>
      <sz val="9"/>
      <name val="Calibri Light"/>
      <family val="3"/>
      <charset val="129"/>
      <scheme val="major"/>
    </font>
    <font>
      <b/>
      <sz val="10"/>
      <color theme="0"/>
      <name val="Calibri"/>
      <family val="3"/>
      <charset val="129"/>
      <scheme val="minor"/>
    </font>
    <font>
      <b/>
      <sz val="11"/>
      <color rgb="FFFFFFFF"/>
      <name val="Calibri"/>
      <family val="3"/>
      <charset val="129"/>
      <scheme val="minor"/>
    </font>
    <font>
      <b/>
      <sz val="16"/>
      <color rgb="FFFFFFFF"/>
      <name val="Calibri"/>
      <family val="3"/>
      <charset val="129"/>
      <scheme val="minor"/>
    </font>
    <font>
      <sz val="11"/>
      <color rgb="FFFFFFFF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0"/>
      <color theme="1"/>
      <name val="Yu Gothic"/>
      <family val="2"/>
      <charset val="129"/>
    </font>
    <font>
      <sz val="8"/>
      <name val="Yu Gothic"/>
      <family val="2"/>
      <charset val="129"/>
    </font>
    <font>
      <b/>
      <sz val="18"/>
      <color rgb="FF008080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b/>
      <sz val="9"/>
      <color theme="1"/>
      <name val="Calibri"/>
      <family val="3"/>
      <charset val="129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00808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theme="8" tint="-0.499984740745262"/>
      </left>
      <right style="double">
        <color theme="8" tint="-0.499984740745262"/>
      </right>
      <top style="double">
        <color theme="8" tint="-0.499984740745262"/>
      </top>
      <bottom style="double">
        <color theme="8" tint="-0.499984740745262"/>
      </bottom>
      <diagonal/>
    </border>
    <border>
      <left/>
      <right/>
      <top/>
      <bottom style="double">
        <color theme="4"/>
      </bottom>
      <diagonal/>
    </border>
    <border>
      <left/>
      <right/>
      <top/>
      <bottom style="thick">
        <color rgb="FF008080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4" borderId="0">
      <protection locked="0"/>
    </xf>
    <xf numFmtId="0" fontId="7" fillId="2" borderId="1">
      <alignment horizontal="center" vertical="center"/>
      <protection locked="0"/>
    </xf>
    <xf numFmtId="164" fontId="5" fillId="0" borderId="0" applyFont="0" applyFill="0" applyBorder="0" applyAlignment="0" applyProtection="0">
      <alignment vertical="center"/>
    </xf>
    <xf numFmtId="0" fontId="9" fillId="4" borderId="0">
      <protection locked="0"/>
    </xf>
    <xf numFmtId="10" fontId="10" fillId="3" borderId="11">
      <alignment horizontal="center"/>
      <protection locked="0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0" borderId="0" applyNumberFormat="0" applyFont="0" applyFill="0" applyBorder="0" applyAlignment="0" applyProtection="0"/>
    <xf numFmtId="166" fontId="11" fillId="0" borderId="1">
      <alignment vertical="center"/>
      <protection locked="0"/>
    </xf>
    <xf numFmtId="0" fontId="25" fillId="0" borderId="0" applyNumberFormat="0" applyFont="0" applyFill="0" applyBorder="0" applyAlignment="0" applyProtection="0"/>
  </cellStyleXfs>
  <cellXfs count="52">
    <xf numFmtId="0" fontId="0" fillId="0" borderId="0" xfId="0">
      <alignment vertical="center"/>
    </xf>
    <xf numFmtId="0" fontId="13" fillId="5" borderId="0" xfId="0" applyFont="1" applyFill="1" applyAlignment="1">
      <alignment wrapText="1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/>
    <xf numFmtId="0" fontId="16" fillId="0" borderId="0" xfId="0" applyFont="1">
      <alignment vertical="center"/>
    </xf>
    <xf numFmtId="0" fontId="16" fillId="0" borderId="0" xfId="0" applyFont="1" applyProtection="1">
      <alignment vertical="center"/>
      <protection locked="0"/>
    </xf>
    <xf numFmtId="0" fontId="17" fillId="0" borderId="12" xfId="0" quotePrefix="1" applyFont="1" applyBorder="1" applyAlignment="1">
      <alignment horizontal="left" vertical="center"/>
    </xf>
    <xf numFmtId="0" fontId="5" fillId="0" borderId="0" xfId="0" applyFont="1">
      <alignment vertical="center"/>
    </xf>
    <xf numFmtId="167" fontId="12" fillId="5" borderId="1" xfId="10" applyNumberFormat="1" applyFont="1" applyFill="1" applyBorder="1" applyAlignment="1">
      <alignment horizontal="center" vertical="center" shrinkToFit="1"/>
    </xf>
    <xf numFmtId="0" fontId="20" fillId="0" borderId="13" xfId="0" applyFont="1" applyBorder="1">
      <alignment vertical="center"/>
    </xf>
    <xf numFmtId="0" fontId="5" fillId="0" borderId="13" xfId="0" applyFont="1" applyBorder="1">
      <alignment vertical="center"/>
    </xf>
    <xf numFmtId="0" fontId="5" fillId="3" borderId="3" xfId="0" applyFont="1" applyFill="1" applyBorder="1" applyAlignment="1"/>
    <xf numFmtId="0" fontId="5" fillId="3" borderId="4" xfId="0" applyFont="1" applyFill="1" applyBorder="1" applyAlignment="1"/>
    <xf numFmtId="0" fontId="3" fillId="3" borderId="6" xfId="0" applyFont="1" applyFill="1" applyBorder="1" applyAlignment="1"/>
    <xf numFmtId="0" fontId="21" fillId="3" borderId="9" xfId="0" applyFont="1" applyFill="1" applyBorder="1" applyAlignment="1"/>
    <xf numFmtId="0" fontId="3" fillId="3" borderId="9" xfId="0" applyFont="1" applyFill="1" applyBorder="1" applyAlignment="1"/>
    <xf numFmtId="0" fontId="16" fillId="3" borderId="8" xfId="0" applyFont="1" applyFill="1" applyBorder="1" applyProtection="1">
      <alignment vertical="center"/>
      <protection locked="0"/>
    </xf>
    <xf numFmtId="0" fontId="16" fillId="3" borderId="9" xfId="0" applyFont="1" applyFill="1" applyBorder="1" applyProtection="1">
      <alignment vertical="center"/>
      <protection locked="0"/>
    </xf>
    <xf numFmtId="0" fontId="12" fillId="5" borderId="1" xfId="9" applyFont="1" applyFill="1" applyBorder="1" applyAlignment="1">
      <alignment horizontal="center" vertical="center"/>
    </xf>
    <xf numFmtId="0" fontId="4" fillId="0" borderId="1" xfId="9" applyFont="1" applyBorder="1" applyAlignment="1">
      <alignment horizontal="center" vertical="center"/>
    </xf>
    <xf numFmtId="0" fontId="5" fillId="3" borderId="5" xfId="0" applyFont="1" applyFill="1" applyBorder="1" applyAlignment="1"/>
    <xf numFmtId="0" fontId="22" fillId="3" borderId="0" xfId="0" applyFont="1" applyFill="1" applyAlignment="1"/>
    <xf numFmtId="0" fontId="3" fillId="3" borderId="0" xfId="0" applyFont="1" applyFill="1" applyAlignment="1"/>
    <xf numFmtId="0" fontId="3" fillId="3" borderId="7" xfId="0" applyFont="1" applyFill="1" applyBorder="1" applyAlignment="1"/>
    <xf numFmtId="42" fontId="3" fillId="3" borderId="7" xfId="0" applyNumberFormat="1" applyFont="1" applyFill="1" applyBorder="1">
      <alignment vertical="center"/>
    </xf>
    <xf numFmtId="0" fontId="16" fillId="3" borderId="10" xfId="0" applyFont="1" applyFill="1" applyBorder="1" applyProtection="1">
      <alignment vertical="center"/>
      <protection locked="0"/>
    </xf>
    <xf numFmtId="168" fontId="4" fillId="0" borderId="1" xfId="10" applyNumberFormat="1" applyFont="1" applyFill="1" applyBorder="1" applyAlignment="1">
      <alignment horizontal="center" vertical="center"/>
    </xf>
    <xf numFmtId="169" fontId="4" fillId="0" borderId="1" xfId="10" applyNumberFormat="1" applyFont="1" applyFill="1" applyBorder="1" applyAlignment="1">
      <alignment horizontal="center" vertical="center"/>
    </xf>
    <xf numFmtId="170" fontId="4" fillId="0" borderId="1" xfId="10" applyNumberFormat="1" applyFont="1" applyFill="1" applyBorder="1" applyAlignment="1">
      <alignment horizontal="center" vertical="center"/>
    </xf>
    <xf numFmtId="165" fontId="4" fillId="0" borderId="1" xfId="10" applyNumberFormat="1" applyFont="1" applyFill="1" applyBorder="1" applyAlignment="1">
      <alignment horizontal="center" vertical="center"/>
    </xf>
    <xf numFmtId="165" fontId="3" fillId="0" borderId="1" xfId="11" applyNumberFormat="1" applyFont="1" applyFill="1" applyBorder="1" applyAlignment="1">
      <alignment horizontal="center" vertical="center"/>
    </xf>
    <xf numFmtId="0" fontId="3" fillId="0" borderId="1" xfId="9" applyFont="1" applyBorder="1">
      <alignment vertical="center"/>
    </xf>
    <xf numFmtId="164" fontId="3" fillId="0" borderId="1" xfId="9" applyNumberFormat="1" applyFont="1" applyBorder="1" applyAlignment="1">
      <alignment horizontal="center" vertical="center"/>
    </xf>
    <xf numFmtId="171" fontId="5" fillId="0" borderId="0" xfId="0" applyNumberFormat="1" applyFont="1">
      <alignment vertical="center"/>
    </xf>
    <xf numFmtId="0" fontId="26" fillId="3" borderId="1" xfId="0" applyFont="1" applyFill="1" applyBorder="1" applyAlignment="1">
      <alignment horizontal="right"/>
    </xf>
    <xf numFmtId="165" fontId="26" fillId="3" borderId="1" xfId="8" applyNumberFormat="1" applyFont="1" applyFill="1" applyBorder="1" applyAlignment="1">
      <alignment horizontal="right"/>
    </xf>
    <xf numFmtId="0" fontId="4" fillId="0" borderId="1" xfId="10" applyNumberFormat="1" applyFont="1" applyFill="1" applyBorder="1" applyAlignment="1">
      <alignment horizontal="center" vertical="center"/>
    </xf>
    <xf numFmtId="0" fontId="4" fillId="0" borderId="1" xfId="12" applyNumberFormat="1" applyFont="1" applyFill="1" applyBorder="1" applyAlignment="1">
      <alignment horizontal="center" vertical="center"/>
    </xf>
    <xf numFmtId="171" fontId="4" fillId="0" borderId="1" xfId="10" applyNumberFormat="1" applyFont="1" applyFill="1" applyBorder="1" applyAlignment="1">
      <alignment horizontal="center" vertical="center"/>
    </xf>
    <xf numFmtId="165" fontId="4" fillId="0" borderId="1" xfId="11" applyNumberFormat="1" applyFont="1" applyFill="1" applyBorder="1" applyAlignment="1">
      <alignment horizontal="center" vertical="center"/>
    </xf>
    <xf numFmtId="10" fontId="27" fillId="3" borderId="1" xfId="2" applyNumberFormat="1" applyFont="1" applyFill="1" applyBorder="1" applyAlignment="1">
      <alignment horizontal="right"/>
    </xf>
    <xf numFmtId="165" fontId="27" fillId="3" borderId="1" xfId="8" applyNumberFormat="1" applyFont="1" applyFill="1" applyBorder="1" applyAlignment="1">
      <alignment horizontal="right"/>
    </xf>
    <xf numFmtId="165" fontId="5" fillId="0" borderId="0" xfId="0" applyNumberFormat="1" applyFont="1">
      <alignment vertical="center"/>
    </xf>
    <xf numFmtId="167" fontId="12" fillId="5" borderId="2" xfId="10" applyNumberFormat="1" applyFont="1" applyFill="1" applyBorder="1" applyAlignment="1">
      <alignment horizontal="center" vertical="center" shrinkToFit="1"/>
    </xf>
    <xf numFmtId="9" fontId="12" fillId="5" borderId="1" xfId="10" applyNumberFormat="1" applyFont="1" applyFill="1" applyBorder="1" applyAlignment="1">
      <alignment horizontal="center" vertical="center" shrinkToFit="1"/>
    </xf>
    <xf numFmtId="10" fontId="12" fillId="5" borderId="1" xfId="10" applyNumberFormat="1" applyFont="1" applyFill="1" applyBorder="1" applyAlignment="1">
      <alignment horizontal="center" vertical="center" shrinkToFit="1"/>
    </xf>
    <xf numFmtId="41" fontId="4" fillId="0" borderId="1" xfId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center" vertical="center"/>
    </xf>
    <xf numFmtId="172" fontId="5" fillId="0" borderId="0" xfId="0" applyNumberFormat="1" applyFont="1">
      <alignment vertical="center"/>
    </xf>
    <xf numFmtId="41" fontId="5" fillId="0" borderId="0" xfId="1" applyFont="1">
      <alignment vertical="center"/>
    </xf>
    <xf numFmtId="0" fontId="12" fillId="5" borderId="1" xfId="9" applyFont="1" applyFill="1" applyBorder="1" applyAlignment="1">
      <alignment horizontal="center" vertical="center" wrapText="1" shrinkToFit="1"/>
    </xf>
    <xf numFmtId="0" fontId="12" fillId="5" borderId="1" xfId="9" applyFont="1" applyFill="1" applyBorder="1" applyAlignment="1">
      <alignment horizontal="center" vertical="center"/>
    </xf>
  </cellXfs>
  <cellStyles count="16">
    <cellStyle name="Comma [0] 2" xfId="11" xr:uid="{F57BB5E5-C58C-489F-9940-5642FDE31C2A}"/>
    <cellStyle name="Name" xfId="3" xr:uid="{F3E3B340-DEB7-4D64-9A27-8A01D4FA2353}"/>
    <cellStyle name="Name bold" xfId="6" xr:uid="{0406CE08-930E-4639-9630-B05CFAE80A16}"/>
    <cellStyle name="Normal 2" xfId="9" xr:uid="{53D4AE2A-48A2-4F0C-8E0C-FA91FCF9A565}"/>
    <cellStyle name="Normal 3" xfId="13" xr:uid="{701C75B1-D442-48FF-9458-B36802F61003}"/>
    <cellStyle name="Percent 2" xfId="12" xr:uid="{64BD25C3-B146-47D7-B15D-E5347B5F6DCD}"/>
    <cellStyle name="Table_header" xfId="4" xr:uid="{9EC52A60-56C1-4B93-9F15-D2D064DF8A83}"/>
    <cellStyle name="User_percent" xfId="7" xr:uid="{5326F120-3D36-4F33-9686-F4030E34EA9D}"/>
    <cellStyle name="백분율" xfId="2" builtinId="5"/>
    <cellStyle name="쉼표 [0]" xfId="1" builtinId="6"/>
    <cellStyle name="쉼표 [0] 2 2" xfId="10" xr:uid="{0A4E3F1B-531D-41AA-93ED-63B9F6CF1E56}"/>
    <cellStyle name="쉼표 [0] 4" xfId="5" xr:uid="{AA5948FF-BE48-42F3-912B-9FFE8577E168}"/>
    <cellStyle name="스타일 1" xfId="14" xr:uid="{C7291A2A-44A8-4BED-8DF9-5272DA05A590}"/>
    <cellStyle name="통화 [0]" xfId="8" builtinId="7"/>
    <cellStyle name="표준" xfId="0" builtinId="0"/>
    <cellStyle name="표준 2" xfId="15" xr:uid="{265357FC-4760-4E5A-BA8C-D6CD1EDBA72A}"/>
  </cellStyles>
  <dxfs count="0"/>
  <tableStyles count="0" defaultTableStyle="TableStyleMedium2" defaultPivotStyle="PivotStyleLight16"/>
  <colors>
    <mruColors>
      <color rgb="FF008080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409576</xdr:colOff>
      <xdr:row>27</xdr:row>
      <xdr:rowOff>161925</xdr:rowOff>
    </xdr:from>
    <xdr:to>
      <xdr:col>4</xdr:col>
      <xdr:colOff>560792</xdr:colOff>
      <xdr:row>49</xdr:row>
      <xdr:rowOff>153607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C2DB5D9-E4EB-8D48-1CE5-B11C53852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6" y="5848350"/>
          <a:ext cx="5237566" cy="4182682"/>
        </a:xfrm>
        <a:prstGeom prst="rect">
          <a:avLst/>
        </a:prstGeom>
      </xdr:spPr>
    </xdr:pic>
    <xdr:clientData/>
  </xdr:twoCellAnchor>
  <xdr:twoCellAnchor editAs="oneCell">
    <xdr:from>
      <xdr:col>4</xdr:col>
      <xdr:colOff>1123840</xdr:colOff>
      <xdr:row>28</xdr:row>
      <xdr:rowOff>57149</xdr:rowOff>
    </xdr:from>
    <xdr:to>
      <xdr:col>9</xdr:col>
      <xdr:colOff>838200</xdr:colOff>
      <xdr:row>52</xdr:row>
      <xdr:rowOff>153524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0E24B7-7A82-988B-6C16-393CDF083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190" y="5934074"/>
          <a:ext cx="5476985" cy="4668375"/>
        </a:xfrm>
        <a:prstGeom prst="rect">
          <a:avLst/>
        </a:prstGeom>
      </xdr:spPr>
    </xdr:pic>
    <xdr:clientData/>
  </xdr:twoCellAnchor>
  <xdr:twoCellAnchor editAs="oneCell">
    <xdr:from>
      <xdr:col>9</xdr:col>
      <xdr:colOff>990600</xdr:colOff>
      <xdr:row>28</xdr:row>
      <xdr:rowOff>19050</xdr:rowOff>
    </xdr:from>
    <xdr:to>
      <xdr:col>12</xdr:col>
      <xdr:colOff>38100</xdr:colOff>
      <xdr:row>43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12C30AF-8518-425F-0F68-1566BCFD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9575" y="5895975"/>
          <a:ext cx="301942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oiyer\Downloads\BIM%20in%20VHL-RCC_KR_20231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Introduction"/>
      <sheetName val="Dashboard"/>
      <sheetName val="Epidemiology"/>
      <sheetName val="Market Share"/>
      <sheetName val="Drug and Drug Admin Costs"/>
      <sheetName val="Subsequent Treatments"/>
      <sheetName val="Surgery &amp; Surgical Comp Costs"/>
      <sheetName val="Monitoring Costs"/>
      <sheetName val="Adverse Events Costs"/>
      <sheetName val="Cost Summary"/>
      <sheetName val="Results Summary"/>
      <sheetName val="Results"/>
      <sheetName val="Detailed Results"/>
      <sheetName val="DSA Results"/>
      <sheetName val="Belzutifan"/>
      <sheetName val="Routine surveillance"/>
      <sheetName val="DSA Setup"/>
      <sheetName val="DSA Tornado Setup"/>
      <sheetName val="References"/>
      <sheetName val="Raw_Epidemiology"/>
      <sheetName val="Raw_Survival curves"/>
      <sheetName val="Raw_Drug Admin"/>
      <sheetName val="Raw_Monitoring Costs"/>
      <sheetName val="Raw_AE costs"/>
      <sheetName val="Raw_Surgery costs"/>
      <sheetName val="Raw_CPI"/>
      <sheetName val="Raw - Demographics"/>
      <sheetName val="Raw_1L Subseq ToT"/>
      <sheetName val="&lt;Dashboard Chart Data&gt;"/>
      <sheetName val="&lt;Dashboard Controls&gt;"/>
      <sheetName val="Central Control"/>
    </sheetNames>
    <sheetDataSet>
      <sheetData sheetId="0"/>
      <sheetData sheetId="1"/>
      <sheetData sheetId="2"/>
      <sheetData sheetId="3"/>
      <sheetData sheetId="4"/>
      <sheetData sheetId="5">
        <row r="33">
          <cell r="J33" t="str">
            <v>No max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">
          <cell r="C9" t="str">
            <v>Budget impact model of belzutifan as a treatment for Von Hippel Lindau Disease-associated renal cell carcinoma, central nervous system hemangioblastoma, and pancreatic neuroendocrine tumor</v>
          </cell>
        </row>
        <row r="95">
          <cell r="C95" t="str">
            <v>Belzutifan</v>
          </cell>
        </row>
        <row r="96">
          <cell r="C96" t="str">
            <v>Routine surveillance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on, Yo Seop" id="{D2661066-30DB-46E2-A64D-A90346119B24}" userId="S::jeonyo@merck.com::fc9e42cd-d829-449c-982b-7ec445f68b66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6" dT="2026-02-10T02:51:18.05" personId="{D2661066-30DB-46E2-A64D-A90346119B24}" id="{745DDBB3-BF65-40E9-AD30-DD1BD6AB850D}">
    <text>고가약(내복외용제 475원, 주사제 4,750원 이상) 8.69% / 저가약 10.41%</text>
  </threadedComment>
  <threadedComment ref="H21" dT="2026-02-10T02:54:37.57" personId="{D2661066-30DB-46E2-A64D-A90346119B24}" id="{176C7AF0-5069-4B63-AF7E-6FFC3F45D283}">
    <text xml:space="preserve">공적으로급여되나약가가확인되지않는경우, vidal약가x0.65 </text>
  </threadedComment>
  <threadedComment ref="H24" dT="2026-02-10T02:54:49.14" personId="{D2661066-30DB-46E2-A64D-A90346119B24}" id="{C555F86C-A47E-42C9-8E58-8E57F3F2E9D1}">
    <text xml:space="preserve">적으로급여되나약가가확인되지않는경우, compendium약가x0.65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4C4343-9B89-4066-916D-850F1598101A}">
  <we:reference id="f9d83b14-4e6f-42a7-9129-3d6070647a4c" version="2.9.0.0" store="EXCatalog" storeType="EXCatalog"/>
  <we:alternateReferences>
    <we:reference id="WA200000421" version="2.9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880B-B1B8-4463-A995-BD0EAEB145FB}">
  <dimension ref="A1:W50"/>
  <sheetViews>
    <sheetView showGridLines="0" tabSelected="1" zoomScaleNormal="100" workbookViewId="0">
      <selection activeCell="K17" sqref="K17"/>
    </sheetView>
  </sheetViews>
  <sheetFormatPr defaultColWidth="9" defaultRowHeight="15"/>
  <cols>
    <col min="1" max="1" width="6.7109375" style="7" customWidth="1"/>
    <col min="2" max="2" width="41.42578125" style="7" customWidth="1"/>
    <col min="3" max="3" width="14.85546875" style="7" customWidth="1"/>
    <col min="4" max="4" width="13.28515625" style="7" customWidth="1"/>
    <col min="5" max="10" width="17.28515625" style="7" customWidth="1"/>
    <col min="11" max="11" width="18.5703125" style="7" customWidth="1"/>
    <col min="12" max="12" width="23.7109375" style="7" customWidth="1"/>
    <col min="13" max="13" width="13.28515625" style="7" customWidth="1"/>
    <col min="14" max="14" width="16.7109375" style="7" customWidth="1"/>
    <col min="15" max="16384" width="9" style="7"/>
  </cols>
  <sheetData>
    <row r="1" spans="1:23" s="3" customFormat="1" ht="27" customHeight="1">
      <c r="A1" s="1"/>
      <c r="B1" s="2" t="s">
        <v>30</v>
      </c>
      <c r="D1" s="2"/>
    </row>
    <row r="3" spans="1:23" ht="24" thickBot="1">
      <c r="A3" s="9" t="s">
        <v>19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6.5" thickTop="1" thickBot="1"/>
    <row r="5" spans="1:23">
      <c r="B5" s="11"/>
      <c r="C5" s="12"/>
      <c r="D5" s="12"/>
      <c r="E5" s="12"/>
      <c r="F5" s="20"/>
    </row>
    <row r="6" spans="1:23" ht="21.75" thickBot="1">
      <c r="B6" s="13"/>
      <c r="C6" s="14" t="s">
        <v>0</v>
      </c>
      <c r="D6" s="15"/>
      <c r="E6" s="15"/>
      <c r="F6" s="24"/>
    </row>
    <row r="7" spans="1:23">
      <c r="B7" s="13"/>
      <c r="C7" s="21"/>
      <c r="D7" s="22"/>
      <c r="E7" s="22"/>
      <c r="F7" s="23"/>
    </row>
    <row r="8" spans="1:23">
      <c r="B8" s="13"/>
      <c r="C8" s="22"/>
      <c r="D8" s="34" t="s">
        <v>20</v>
      </c>
      <c r="E8" s="35">
        <f>ROUNDDOWN(C27,0)</f>
        <v>208594</v>
      </c>
      <c r="F8" s="24"/>
    </row>
    <row r="9" spans="1:23">
      <c r="B9" s="13"/>
      <c r="C9" s="22"/>
      <c r="D9" s="34" t="s">
        <v>21</v>
      </c>
      <c r="E9" s="40"/>
      <c r="F9" s="24"/>
    </row>
    <row r="10" spans="1:23">
      <c r="B10" s="13"/>
      <c r="C10" s="22"/>
      <c r="D10" s="34" t="s">
        <v>22</v>
      </c>
      <c r="E10" s="41">
        <f>ROUNDDOWN(E8*(1-E9),0)</f>
        <v>208594</v>
      </c>
      <c r="F10" s="24"/>
    </row>
    <row r="11" spans="1:23" ht="15.75" thickBot="1">
      <c r="B11" s="16"/>
      <c r="C11" s="17"/>
      <c r="D11" s="17"/>
      <c r="E11" s="17"/>
      <c r="F11" s="25"/>
    </row>
    <row r="12" spans="1:23">
      <c r="G12" s="5"/>
      <c r="H12" s="5"/>
      <c r="I12" s="5"/>
      <c r="J12" s="5"/>
      <c r="K12" s="4"/>
      <c r="L12" s="4"/>
      <c r="M12" s="4"/>
    </row>
    <row r="13" spans="1:23" s="4" customFormat="1" ht="16.5" customHeight="1" thickBot="1">
      <c r="B13" s="6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5"/>
    </row>
    <row r="14" spans="1:23" ht="15.75" thickTop="1"/>
    <row r="15" spans="1:23">
      <c r="B15" s="50" t="s">
        <v>29</v>
      </c>
      <c r="C15" s="51" t="s">
        <v>5</v>
      </c>
      <c r="D15" s="51" t="s">
        <v>6</v>
      </c>
      <c r="E15" s="8" t="s">
        <v>36</v>
      </c>
      <c r="F15" s="8" t="s">
        <v>37</v>
      </c>
      <c r="G15" s="8" t="s">
        <v>37</v>
      </c>
      <c r="H15" s="8" t="s">
        <v>27</v>
      </c>
      <c r="I15" s="8" t="s">
        <v>25</v>
      </c>
      <c r="J15" s="8" t="s">
        <v>26</v>
      </c>
      <c r="K15" s="8" t="s">
        <v>9</v>
      </c>
    </row>
    <row r="16" spans="1:23" ht="25.5" customHeight="1">
      <c r="B16" s="50"/>
      <c r="C16" s="51"/>
      <c r="D16" s="51"/>
      <c r="E16" s="8" t="s">
        <v>4</v>
      </c>
      <c r="F16" s="8" t="s">
        <v>4</v>
      </c>
      <c r="G16" s="8" t="s">
        <v>1</v>
      </c>
      <c r="H16" s="8" t="s">
        <v>28</v>
      </c>
      <c r="I16" s="44">
        <v>0.1</v>
      </c>
      <c r="J16" s="45">
        <v>8.6900000000000005E-2</v>
      </c>
      <c r="K16" s="8" t="s">
        <v>1</v>
      </c>
      <c r="M16" s="43" t="s">
        <v>23</v>
      </c>
    </row>
    <row r="17" spans="2:13">
      <c r="B17" s="36">
        <v>1821.01</v>
      </c>
      <c r="C17" s="19" t="s">
        <v>13</v>
      </c>
      <c r="D17" s="19" t="s">
        <v>3</v>
      </c>
      <c r="E17" s="27">
        <v>11936.7</v>
      </c>
      <c r="F17" s="27">
        <f>E17/90</f>
        <v>132.63</v>
      </c>
      <c r="G17" s="29">
        <f>F17*B17</f>
        <v>241520.5563</v>
      </c>
      <c r="H17" s="47">
        <v>0.73</v>
      </c>
      <c r="I17" s="29">
        <f>G17*H17*(1+$I$16)</f>
        <v>193941.00670890001</v>
      </c>
      <c r="J17" s="29">
        <f>I17*(1+$J$16)</f>
        <v>210794.48019190342</v>
      </c>
      <c r="K17" s="30">
        <f>G17*0.73*1.1*1.0869</f>
        <v>210794.48019190342</v>
      </c>
      <c r="M17" s="7" t="s">
        <v>24</v>
      </c>
    </row>
    <row r="18" spans="2:13">
      <c r="B18" s="36">
        <v>1398.72</v>
      </c>
      <c r="C18" s="19" t="s">
        <v>2</v>
      </c>
      <c r="D18" s="19" t="s">
        <v>3</v>
      </c>
      <c r="E18" s="28">
        <v>30551.4</v>
      </c>
      <c r="F18" s="28">
        <f>E18/90</f>
        <v>339.46000000000004</v>
      </c>
      <c r="G18" s="29">
        <f t="shared" ref="G18:G19" si="0">F18*B18</f>
        <v>474809.49120000005</v>
      </c>
      <c r="H18" s="47">
        <v>0.74</v>
      </c>
      <c r="I18" s="29">
        <f>G18*H18*(1+$I$16)</f>
        <v>386494.92583680007</v>
      </c>
      <c r="J18" s="29">
        <f t="shared" ref="J18:J24" si="1">I18*(1+$J$16)</f>
        <v>420081.334892018</v>
      </c>
      <c r="K18" s="30">
        <f>G18*0.74*(1+10%)*(1+8.69%)</f>
        <v>420081.334892018</v>
      </c>
    </row>
    <row r="19" spans="2:13">
      <c r="B19" s="19">
        <v>1009.68</v>
      </c>
      <c r="C19" s="19" t="s">
        <v>7</v>
      </c>
      <c r="D19" s="19" t="s">
        <v>3</v>
      </c>
      <c r="E19" s="28">
        <f>F19*90</f>
        <v>19199.7</v>
      </c>
      <c r="F19" s="28">
        <v>213.33</v>
      </c>
      <c r="G19" s="29">
        <f t="shared" si="0"/>
        <v>215395.0344</v>
      </c>
      <c r="H19" s="47">
        <v>0.81</v>
      </c>
      <c r="I19" s="29">
        <f>G19*H19*(1+$I$16)</f>
        <v>191916.97565040004</v>
      </c>
      <c r="J19" s="29">
        <f t="shared" si="1"/>
        <v>208594.5608344198</v>
      </c>
      <c r="K19" s="30">
        <f>G19*0.81*1.1*1.0869</f>
        <v>208594.5608344198</v>
      </c>
    </row>
    <row r="20" spans="2:13">
      <c r="B20" s="37">
        <v>9.2645</v>
      </c>
      <c r="C20" s="19" t="s">
        <v>14</v>
      </c>
      <c r="D20" s="19" t="s">
        <v>3</v>
      </c>
      <c r="E20" s="26"/>
      <c r="F20" s="26">
        <v>21916.799999999999</v>
      </c>
      <c r="G20" s="29">
        <f>F20*B20</f>
        <v>203048.1936</v>
      </c>
      <c r="H20" s="47">
        <v>0.79</v>
      </c>
      <c r="I20" s="29">
        <f>G20*H20*(1+$I$16)</f>
        <v>176448.88023840002</v>
      </c>
      <c r="J20" s="29">
        <f t="shared" si="1"/>
        <v>191782.28793111697</v>
      </c>
      <c r="K20" s="30">
        <f>G20*0.79*1.1*1.0869</f>
        <v>191782.28793111697</v>
      </c>
    </row>
    <row r="21" spans="2:13">
      <c r="B21" s="37">
        <v>1552.42</v>
      </c>
      <c r="C21" s="19" t="s">
        <v>15</v>
      </c>
      <c r="D21" s="19" t="s">
        <v>3</v>
      </c>
      <c r="E21" s="26">
        <v>20000</v>
      </c>
      <c r="F21" s="26">
        <f>E21/90</f>
        <v>222.22222222222223</v>
      </c>
      <c r="G21" s="29">
        <f>F21*B21</f>
        <v>344982.22222222225</v>
      </c>
      <c r="H21" s="47">
        <v>0.77</v>
      </c>
      <c r="I21" s="29">
        <f t="shared" ref="I21:I24" si="2">G21*(1+$I$16)</f>
        <v>379480.4444444445</v>
      </c>
      <c r="J21" s="29">
        <f t="shared" si="1"/>
        <v>412457.29506666673</v>
      </c>
      <c r="K21" s="30">
        <f>G21*0.79*1.1*1.0869</f>
        <v>325841.26310266677</v>
      </c>
    </row>
    <row r="22" spans="2:13">
      <c r="B22" s="37">
        <v>1552.42</v>
      </c>
      <c r="C22" s="19" t="s">
        <v>16</v>
      </c>
      <c r="D22" s="19" t="s">
        <v>3</v>
      </c>
      <c r="E22" s="38">
        <v>17830.310000000001</v>
      </c>
      <c r="F22" s="38">
        <f>E22/90</f>
        <v>198.11455555555557</v>
      </c>
      <c r="G22" s="29">
        <f>F22*B22</f>
        <v>307556.9983355556</v>
      </c>
      <c r="H22" s="46">
        <f>(F22-F22*19%-(F22*3%+8.35)-(F22*3.15%+0.7))/(1-7%)</f>
        <v>149.71908046594982</v>
      </c>
      <c r="I22" s="29">
        <f>H22*B22</f>
        <v>232426.89489694982</v>
      </c>
      <c r="J22" s="29">
        <f t="shared" si="1"/>
        <v>252624.79206349474</v>
      </c>
      <c r="K22" s="39">
        <f>(((((F22/1.19)-8.35)/1.03)-0.7)/1.0315)*0.93*1.1*1.0869*B22</f>
        <v>255743.9297993994</v>
      </c>
      <c r="L22" s="48"/>
    </row>
    <row r="23" spans="2:13">
      <c r="B23" s="37">
        <v>1552.42</v>
      </c>
      <c r="C23" s="19" t="s">
        <v>17</v>
      </c>
      <c r="D23" s="19" t="s">
        <v>3</v>
      </c>
      <c r="E23" s="26">
        <v>20000</v>
      </c>
      <c r="F23" s="26">
        <f>E23/90</f>
        <v>222.22222222222223</v>
      </c>
      <c r="G23" s="29">
        <f>F23*B23</f>
        <v>344982.22222222225</v>
      </c>
      <c r="H23" s="47">
        <v>0.93</v>
      </c>
      <c r="I23" s="29">
        <f t="shared" si="2"/>
        <v>379480.4444444445</v>
      </c>
      <c r="J23" s="29">
        <f t="shared" si="1"/>
        <v>412457.29506666673</v>
      </c>
      <c r="K23" s="30">
        <f>G23*0.79*1.1*1.0869</f>
        <v>325841.26310266677</v>
      </c>
    </row>
    <row r="24" spans="2:13">
      <c r="B24" s="37">
        <v>1645.2</v>
      </c>
      <c r="C24" s="19" t="s">
        <v>18</v>
      </c>
      <c r="D24" s="19" t="s">
        <v>3</v>
      </c>
      <c r="E24" s="26">
        <v>20000</v>
      </c>
      <c r="F24" s="26">
        <f>E24/90</f>
        <v>222.22222222222223</v>
      </c>
      <c r="G24" s="29">
        <f>F24*B24</f>
        <v>365600</v>
      </c>
      <c r="H24" s="47">
        <v>0.73</v>
      </c>
      <c r="I24" s="29">
        <f t="shared" si="2"/>
        <v>402160.00000000006</v>
      </c>
      <c r="J24" s="29">
        <f t="shared" si="1"/>
        <v>437107.70400000003</v>
      </c>
      <c r="K24" s="30">
        <f>G24*0.79*1.1*1.0869</f>
        <v>345315.08616000001</v>
      </c>
    </row>
    <row r="26" spans="2:13">
      <c r="B26" s="18" t="s">
        <v>8</v>
      </c>
      <c r="C26" s="18" t="s">
        <v>11</v>
      </c>
      <c r="K26" s="42"/>
    </row>
    <row r="27" spans="2:13">
      <c r="B27" s="31" t="s">
        <v>12</v>
      </c>
      <c r="C27" s="32">
        <f>MIN(K17:K19)</f>
        <v>208594.5608344198</v>
      </c>
      <c r="E27" s="33"/>
      <c r="F27" s="33"/>
    </row>
    <row r="28" spans="2:13">
      <c r="E28" s="33"/>
    </row>
    <row r="32" spans="2:13">
      <c r="L32"/>
    </row>
    <row r="46" spans="12:14">
      <c r="L46" s="7" t="s">
        <v>35</v>
      </c>
      <c r="M46" s="7">
        <f>M47*(1-7%)</f>
        <v>137.78877250960153</v>
      </c>
      <c r="N46" s="49">
        <f>M46*B22*(1+$I$16)*(1+$J$16)</f>
        <v>255743.92979939937</v>
      </c>
    </row>
    <row r="47" spans="12:14">
      <c r="L47" s="7" t="s">
        <v>31</v>
      </c>
      <c r="M47" s="7">
        <f>(M48-0.7)/1.0315</f>
        <v>148.15997044043175</v>
      </c>
    </row>
    <row r="48" spans="12:14">
      <c r="L48" s="7" t="s">
        <v>32</v>
      </c>
      <c r="M48" s="7">
        <f>(M49-8.35)/1.03</f>
        <v>153.52700950930534</v>
      </c>
    </row>
    <row r="49" spans="12:13">
      <c r="L49" s="7" t="s">
        <v>33</v>
      </c>
      <c r="M49" s="7">
        <f>M50/1.19</f>
        <v>166.48281979458451</v>
      </c>
    </row>
    <row r="50" spans="12:13">
      <c r="L50" s="7" t="s">
        <v>34</v>
      </c>
      <c r="M50" s="7">
        <v>198.11455555555557</v>
      </c>
    </row>
  </sheetData>
  <mergeCells count="3">
    <mergeCell ref="B15:B16"/>
    <mergeCell ref="C15:C16"/>
    <mergeCell ref="D15:D16"/>
  </mergeCells>
  <phoneticPr fontId="2" type="noConversion"/>
  <pageMargins left="0.7" right="0.7" top="0.75" bottom="0.75" header="0.3" footer="0.3"/>
  <pageSetup paperSize="9" orientation="portrait" r:id="rId1"/>
  <headerFooter>
    <oddHeader>&amp;L&amp;"Calibri"&amp;12&amp;K8E6A00 기밀-Confidential&amp;1#_x000D_</oddHead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AA77E521EFF4999D692B0FB4132FB" ma:contentTypeVersion="20" ma:contentTypeDescription="Create a new document." ma:contentTypeScope="" ma:versionID="f95d93f02b0d944bf195703a3dd67d79">
  <xsd:schema xmlns:xsd="http://www.w3.org/2001/XMLSchema" xmlns:xs="http://www.w3.org/2001/XMLSchema" xmlns:p="http://schemas.microsoft.com/office/2006/metadata/properties" xmlns:ns1="http://schemas.microsoft.com/sharepoint/v3" xmlns:ns2="7faca57e-0574-41dd-88fc-ac70325f1849" xmlns:ns3="2d788f59-2c71-49ea-8c02-25513b33217d" targetNamespace="http://schemas.microsoft.com/office/2006/metadata/properties" ma:root="true" ma:fieldsID="6dd8271b2dd7f4987a8d18989ffad740" ns1:_="" ns2:_="" ns3:_="">
    <xsd:import namespace="http://schemas.microsoft.com/sharepoint/v3"/>
    <xsd:import namespace="7faca57e-0574-41dd-88fc-ac70325f1849"/>
    <xsd:import namespace="2d788f59-2c71-49ea-8c02-25513b3321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d706414764af4f47932fa3b0f72787e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ca57e-0574-41dd-88fc-ac70325f18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5e642b-91f5-4888-b018-43334a040d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706414764af4f47932fa3b0f72787e1" ma:index="27" nillable="true" ma:taxonomy="true" ma:internalName="d706414764af4f47932fa3b0f72787e1" ma:taxonomyFieldName="_x0031_2" ma:displayName="12" ma:default="" ma:fieldId="{d7064147-64af-4f47-932f-a3b0f72787e1}" ma:sspId="3f5e642b-91f5-4888-b018-43334a040d09" ma:termSetId="bc915d34-57f8-4033-9b49-945f5d215a2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88f59-2c71-49ea-8c02-25513b33217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59a2fd2-a161-4202-8472-9c6532c69332}" ma:internalName="TaxCatchAll" ma:showField="CatchAllData" ma:web="2d788f59-2c71-49ea-8c02-25513b332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faca57e-0574-41dd-88fc-ac70325f1849">
      <Terms xmlns="http://schemas.microsoft.com/office/infopath/2007/PartnerControls"/>
    </lcf76f155ced4ddcb4097134ff3c332f>
    <_ip_UnifiedCompliancePolicyProperties xmlns="http://schemas.microsoft.com/sharepoint/v3" xsi:nil="true"/>
    <TaxCatchAll xmlns="2d788f59-2c71-49ea-8c02-25513b33217d" xsi:nil="true"/>
    <d706414764af4f47932fa3b0f72787e1 xmlns="7faca57e-0574-41dd-88fc-ac70325f1849">
      <Terms xmlns="http://schemas.microsoft.com/office/infopath/2007/PartnerControls"/>
    </d706414764af4f47932fa3b0f72787e1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8F7E6-FF14-4B30-9583-313B98E92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aca57e-0574-41dd-88fc-ac70325f1849"/>
    <ds:schemaRef ds:uri="2d788f59-2c71-49ea-8c02-25513b3321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9790D8-1CFD-4E78-8C55-598A2F61774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aca57e-0574-41dd-88fc-ac70325f1849"/>
    <ds:schemaRef ds:uri="2d788f59-2c71-49ea-8c02-25513b33217d"/>
  </ds:schemaRefs>
</ds:datastoreItem>
</file>

<file path=customXml/itemProps3.xml><?xml version="1.0" encoding="utf-8"?>
<ds:datastoreItem xmlns:ds="http://schemas.openxmlformats.org/officeDocument/2006/customXml" ds:itemID="{38876FBC-1783-4F86-8016-4A1939C5FC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Cost_drug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Yerim</dc:creator>
  <cp:lastModifiedBy>Jeon, Yo Seop</cp:lastModifiedBy>
  <dcterms:created xsi:type="dcterms:W3CDTF">2023-10-18T12:46:42Z</dcterms:created>
  <dcterms:modified xsi:type="dcterms:W3CDTF">2026-04-15T16:30:27Z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rckAIPLabel">
    <vt:lpwstr>Proprietary</vt:lpwstr>
  </property>
  <property fmtid="{D5CDD505-2E9C-101B-9397-08002B2CF9AE}" pid="3" name="MerckAIPDataExchange">
    <vt:lpwstr>!MRKMIP@Proprietary</vt:lpwstr>
  </property>
  <property fmtid="{D5CDD505-2E9C-101B-9397-08002B2CF9AE}" pid="4" name="MSIP_Label_e021533a-0434-4465-8723-fdc854574e68_Enabled">
    <vt:lpwstr>true</vt:lpwstr>
  </property>
  <property fmtid="{D5CDD505-2E9C-101B-9397-08002B2CF9AE}" pid="5" name="MSIP_Label_e021533a-0434-4465-8723-fdc854574e68_SetDate">
    <vt:lpwstr>2024-12-09T01:44:01Z</vt:lpwstr>
  </property>
  <property fmtid="{D5CDD505-2E9C-101B-9397-08002B2CF9AE}" pid="6" name="MSIP_Label_e021533a-0434-4465-8723-fdc854574e68_Method">
    <vt:lpwstr>Privileged</vt:lpwstr>
  </property>
  <property fmtid="{D5CDD505-2E9C-101B-9397-08002B2CF9AE}" pid="7" name="MSIP_Label_e021533a-0434-4465-8723-fdc854574e68_Name">
    <vt:lpwstr>Korean - Confidential</vt:lpwstr>
  </property>
  <property fmtid="{D5CDD505-2E9C-101B-9397-08002B2CF9AE}" pid="8" name="MSIP_Label_e021533a-0434-4465-8723-fdc854574e68_SiteId">
    <vt:lpwstr>a00de4ec-48a8-43a6-be74-e31274e2060d</vt:lpwstr>
  </property>
  <property fmtid="{D5CDD505-2E9C-101B-9397-08002B2CF9AE}" pid="9" name="MSIP_Label_e021533a-0434-4465-8723-fdc854574e68_ActionId">
    <vt:lpwstr>ea4b52b8-a8f6-47b9-aa80-31d4d8ac1301</vt:lpwstr>
  </property>
  <property fmtid="{D5CDD505-2E9C-101B-9397-08002B2CF9AE}" pid="10" name="MSIP_Label_e021533a-0434-4465-8723-fdc854574e68_ContentBits">
    <vt:lpwstr>1</vt:lpwstr>
  </property>
  <property fmtid="{D5CDD505-2E9C-101B-9397-08002B2CF9AE}" pid="11" name="_AdHocReviewCycleID">
    <vt:i4>-1704756482</vt:i4>
  </property>
  <property fmtid="{D5CDD505-2E9C-101B-9397-08002B2CF9AE}" pid="12" name="_NewReviewCycle">
    <vt:lpwstr/>
  </property>
  <property fmtid="{D5CDD505-2E9C-101B-9397-08002B2CF9AE}" pid="13" name="_EmailSubject">
    <vt:lpwstr>[Confidential] 웰리렉정 급여 신청 관련 검토 요청의 건 </vt:lpwstr>
  </property>
  <property fmtid="{D5CDD505-2E9C-101B-9397-08002B2CF9AE}" pid="14" name="_AuthorEmail">
    <vt:lpwstr>hyowon.yang@msd.com</vt:lpwstr>
  </property>
  <property fmtid="{D5CDD505-2E9C-101B-9397-08002B2CF9AE}" pid="15" name="_AuthorEmailDisplayName">
    <vt:lpwstr>Yang, Hyowon</vt:lpwstr>
  </property>
  <property fmtid="{D5CDD505-2E9C-101B-9397-08002B2CF9AE}" pid="16" name="_PreviousAdHocReviewCycleID">
    <vt:i4>-1466711490</vt:i4>
  </property>
  <property fmtid="{D5CDD505-2E9C-101B-9397-08002B2CF9AE}" pid="17" name="_ReviewingToolsShownOnce">
    <vt:lpwstr/>
  </property>
  <property fmtid="{D5CDD505-2E9C-101B-9397-08002B2CF9AE}" pid="18" name="ContentTypeId">
    <vt:lpwstr>0x010100095AA77E521EFF4999D692B0FB4132FB</vt:lpwstr>
  </property>
  <property fmtid="{D5CDD505-2E9C-101B-9397-08002B2CF9AE}" pid="19" name="MediaServiceImageTags">
    <vt:lpwstr/>
  </property>
  <property fmtid="{D5CDD505-2E9C-101B-9397-08002B2CF9AE}" pid="20" name="_x0031_2">
    <vt:lpwstr/>
  </property>
  <property fmtid="{D5CDD505-2E9C-101B-9397-08002B2CF9AE}" pid="21" name="12">
    <vt:lpwstr/>
  </property>
</Properties>
</file>